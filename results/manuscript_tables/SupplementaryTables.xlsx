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Research\2025_deconvolution\paper\DeconvSC-v3\"/>
    </mc:Choice>
  </mc:AlternateContent>
  <xr:revisionPtr revIDLastSave="0" documentId="13_ncr:1_{0FF25AF6-2CFA-4EA6-A775-41ED6AAA8771}" xr6:coauthVersionLast="47" xr6:coauthVersionMax="47" xr10:uidLastSave="{00000000-0000-0000-0000-000000000000}"/>
  <bookViews>
    <workbookView xWindow="2172" yWindow="816" windowWidth="27240" windowHeight="12660" tabRatio="871" activeTab="6" xr2:uid="{00000000-000D-0000-FFFF-FFFF00000000}"/>
  </bookViews>
  <sheets>
    <sheet name="Supplement Table1" sheetId="7" r:id="rId1"/>
    <sheet name="Supplmentary Table 2" sheetId="8" r:id="rId2"/>
    <sheet name="Supplmentary Table3" sheetId="15" r:id="rId3"/>
    <sheet name="Supplmentary Table4" sheetId="10" r:id="rId4"/>
    <sheet name="Supplmentary Table 5" sheetId="14" r:id="rId5"/>
    <sheet name="Supplmentary Table 6" sheetId="9" r:id="rId6"/>
    <sheet name="Supplmentary Table 7" sheetId="13" r:id="rId7"/>
    <sheet name="Supplmentary Table 8" sheetId="11" r:id="rId8"/>
    <sheet name="Supplement Table 9" sheetId="1" r:id="rId9"/>
    <sheet name="Supplement Table 10" sheetId="2" r:id="rId10"/>
    <sheet name="Supplement Table 11" sheetId="5" r:id="rId11"/>
    <sheet name="Supplement Table 12" sheetId="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7" i="5" l="1"/>
  <c r="C26" i="2"/>
  <c r="B27" i="1"/>
</calcChain>
</file>

<file path=xl/sharedStrings.xml><?xml version="1.0" encoding="utf-8"?>
<sst xmlns="http://schemas.openxmlformats.org/spreadsheetml/2006/main" count="1207" uniqueCount="248">
  <si>
    <t>Cell Type</t>
    <phoneticPr fontId="1" type="noConversion"/>
  </si>
  <si>
    <t>Macrophages MARCO-</t>
    <phoneticPr fontId="1" type="noConversion"/>
  </si>
  <si>
    <t>CD4 T cells</t>
    <phoneticPr fontId="1" type="noConversion"/>
  </si>
  <si>
    <t>Plasma cells</t>
    <phoneticPr fontId="1" type="noConversion"/>
  </si>
  <si>
    <t>Classical monocytes</t>
    <phoneticPr fontId="1" type="noConversion"/>
  </si>
  <si>
    <t>Club</t>
    <phoneticPr fontId="1" type="noConversion"/>
  </si>
  <si>
    <t>EC venous systemic</t>
    <phoneticPr fontId="1" type="noConversion"/>
  </si>
  <si>
    <t>EC aerocyte capillary</t>
    <phoneticPr fontId="1" type="noConversion"/>
  </si>
  <si>
    <t>DC monocyte</t>
    <phoneticPr fontId="1" type="noConversion"/>
  </si>
  <si>
    <t>Transitional AT2</t>
    <phoneticPr fontId="1" type="noConversion"/>
  </si>
  <si>
    <t>Alveolar macrophages</t>
    <phoneticPr fontId="1" type="noConversion"/>
  </si>
  <si>
    <t>Pericytes</t>
  </si>
  <si>
    <t>Goblet</t>
    <phoneticPr fontId="1" type="noConversion"/>
  </si>
  <si>
    <t>Fibroblasts PLIN2+</t>
    <phoneticPr fontId="1" type="noConversion"/>
  </si>
  <si>
    <t>B cells</t>
    <phoneticPr fontId="1" type="noConversion"/>
  </si>
  <si>
    <t>Macrophages SPP1 high</t>
    <phoneticPr fontId="1" type="noConversion"/>
  </si>
  <si>
    <t>DC2</t>
    <phoneticPr fontId="1" type="noConversion"/>
  </si>
  <si>
    <t>Activated myofibroblasts</t>
    <phoneticPr fontId="1" type="noConversion"/>
  </si>
  <si>
    <t>NK cells</t>
    <phoneticPr fontId="1" type="noConversion"/>
  </si>
  <si>
    <t>DC1</t>
    <phoneticPr fontId="1" type="noConversion"/>
  </si>
  <si>
    <t>Plasmacytoid DCs</t>
    <phoneticPr fontId="1" type="noConversion"/>
  </si>
  <si>
    <t>Deuterosomal</t>
    <phoneticPr fontId="1" type="noConversion"/>
  </si>
  <si>
    <t>Subpleural fibroblasts</t>
    <phoneticPr fontId="1" type="noConversion"/>
  </si>
  <si>
    <t>PT</t>
  </si>
  <si>
    <t>aLOH</t>
  </si>
  <si>
    <t>Endo</t>
  </si>
  <si>
    <t>CD_PC</t>
  </si>
  <si>
    <t>DCT</t>
  </si>
  <si>
    <t>CNT</t>
  </si>
  <si>
    <t>MPH</t>
  </si>
  <si>
    <t>CD_IC</t>
  </si>
  <si>
    <t>MC</t>
  </si>
  <si>
    <t>Podo</t>
  </si>
  <si>
    <t>B</t>
  </si>
  <si>
    <t>Fib</t>
  </si>
  <si>
    <t>T</t>
  </si>
  <si>
    <t>CD_IC_A</t>
  </si>
  <si>
    <t>Unknown</t>
  </si>
  <si>
    <t>NK</t>
  </si>
  <si>
    <t>CD_IC_B</t>
  </si>
  <si>
    <t>CD_Trans</t>
  </si>
  <si>
    <t>Neut</t>
  </si>
  <si>
    <t>Tub</t>
  </si>
  <si>
    <t>dLOH</t>
  </si>
  <si>
    <t>Datasets</t>
    <phoneticPr fontId="1" type="noConversion"/>
  </si>
  <si>
    <t>State</t>
    <phoneticPr fontId="2" type="noConversion"/>
  </si>
  <si>
    <t>Number of cells</t>
    <phoneticPr fontId="2" type="noConversion"/>
  </si>
  <si>
    <t>Proportion</t>
    <phoneticPr fontId="1" type="noConversion"/>
  </si>
  <si>
    <t>Species</t>
    <phoneticPr fontId="2" type="noConversion"/>
  </si>
  <si>
    <t>Lung</t>
    <phoneticPr fontId="2" type="noConversion"/>
  </si>
  <si>
    <t>Homo Spaiens</t>
    <phoneticPr fontId="2" type="noConversion"/>
  </si>
  <si>
    <t>Number of cell types</t>
    <phoneticPr fontId="2" type="noConversion"/>
  </si>
  <si>
    <t>Sum</t>
    <phoneticPr fontId="1" type="noConversion"/>
  </si>
  <si>
    <t>AT2</t>
  </si>
  <si>
    <t>AT1</t>
  </si>
  <si>
    <t>alveolar_fibroblast</t>
  </si>
  <si>
    <t>cap_2</t>
  </si>
  <si>
    <t>cap_1</t>
  </si>
  <si>
    <t>macro_alveolar</t>
  </si>
  <si>
    <t>adventitial_fibroblast</t>
  </si>
  <si>
    <t>ciliated</t>
  </si>
  <si>
    <t>macrophage_interstitial</t>
  </si>
  <si>
    <t>monocyte_classical</t>
  </si>
  <si>
    <t>plasma</t>
  </si>
  <si>
    <t>SMC</t>
  </si>
  <si>
    <t>mast_cell</t>
  </si>
  <si>
    <t>club</t>
  </si>
  <si>
    <t>vein_PB</t>
  </si>
  <si>
    <t>artery_1</t>
  </si>
  <si>
    <t>goblet</t>
  </si>
  <si>
    <t>CD4_naive</t>
  </si>
  <si>
    <t>macro_HS3ST2</t>
  </si>
  <si>
    <t>LEC</t>
  </si>
  <si>
    <t>cap_CX3CL1</t>
  </si>
  <si>
    <t>B_cell</t>
  </si>
  <si>
    <t>pericyte</t>
  </si>
  <si>
    <t>basal</t>
  </si>
  <si>
    <t>cap_PB</t>
  </si>
  <si>
    <t>vein_1</t>
  </si>
  <si>
    <t>fibroblast_intermediate</t>
  </si>
  <si>
    <t>CD8_EM</t>
  </si>
  <si>
    <t>granulocyte</t>
  </si>
  <si>
    <t>CD4_EM</t>
  </si>
  <si>
    <t>macro_alveolar_SPP1</t>
  </si>
  <si>
    <t>CD4_Treg</t>
  </si>
  <si>
    <t>cap_arterial</t>
  </si>
  <si>
    <t>vein_2</t>
  </si>
  <si>
    <t>fibroblast_matrix</t>
  </si>
  <si>
    <t>fibromyocyte</t>
  </si>
  <si>
    <t>cDC_type_2</t>
  </si>
  <si>
    <t>CD8_EMRA</t>
  </si>
  <si>
    <t>vascular_SMC</t>
  </si>
  <si>
    <t>cap_venous</t>
  </si>
  <si>
    <t>proliferating_myeloid</t>
  </si>
  <si>
    <t>CD8_RM</t>
  </si>
  <si>
    <t>artery_2</t>
  </si>
  <si>
    <t>CD8_naive</t>
  </si>
  <si>
    <t>myofibroblast</t>
  </si>
  <si>
    <t>monocyte_non_classical</t>
  </si>
  <si>
    <t>CD4_Th17</t>
  </si>
  <si>
    <t>CD8_MAIT</t>
  </si>
  <si>
    <t>proliferating_epithelial</t>
  </si>
  <si>
    <t>NK_KLRC1</t>
  </si>
  <si>
    <t>large_vessel</t>
  </si>
  <si>
    <t>monocyte_IL1B</t>
  </si>
  <si>
    <t>cDC_type_1</t>
  </si>
  <si>
    <t>CD4_Th1</t>
  </si>
  <si>
    <t>CD8_gamma_delta</t>
  </si>
  <si>
    <t>proliferating_endothelial</t>
  </si>
  <si>
    <t>mesothelial</t>
  </si>
  <si>
    <t>proliferating_lymphoid</t>
  </si>
  <si>
    <t>migDC</t>
  </si>
  <si>
    <t>neuroendocrine</t>
  </si>
  <si>
    <t>pDC</t>
  </si>
  <si>
    <t>Major cell type</t>
    <phoneticPr fontId="1" type="noConversion"/>
  </si>
  <si>
    <t>Activated, non-proliferative cells</t>
  </si>
  <si>
    <t>Homeostatic, immediate-early cells</t>
  </si>
  <si>
    <t>Activated, proliferative cells</t>
  </si>
  <si>
    <t>Myeloid progenitor cells</t>
  </si>
  <si>
    <t>Homeostatic, non-proliferative cells</t>
  </si>
  <si>
    <t>Alveolar epithelial cells</t>
    <phoneticPr fontId="1" type="noConversion"/>
  </si>
  <si>
    <t>Myeloid cells</t>
    <phoneticPr fontId="1" type="noConversion"/>
  </si>
  <si>
    <t>Lymphoid cells</t>
    <phoneticPr fontId="1" type="noConversion"/>
  </si>
  <si>
    <t>Stromal cells and fibroblast</t>
    <phoneticPr fontId="1" type="noConversion"/>
  </si>
  <si>
    <t>Cell type full name</t>
    <phoneticPr fontId="2" type="noConversion"/>
  </si>
  <si>
    <t>B cells</t>
  </si>
  <si>
    <t>B cells</t>
    <phoneticPr fontId="2" type="noConversion"/>
  </si>
  <si>
    <t>T cells</t>
  </si>
  <si>
    <t>Immune cells</t>
    <phoneticPr fontId="2" type="noConversion"/>
  </si>
  <si>
    <t>Neutrophils</t>
    <phoneticPr fontId="2" type="noConversion"/>
  </si>
  <si>
    <t>Macrophages</t>
    <phoneticPr fontId="2" type="noConversion"/>
  </si>
  <si>
    <t>NK cells</t>
    <phoneticPr fontId="2" type="noConversion"/>
  </si>
  <si>
    <t>Ascending loop of Henle</t>
    <phoneticPr fontId="2" type="noConversion"/>
  </si>
  <si>
    <t>Distal convoluted tubule cell</t>
    <phoneticPr fontId="2" type="noConversion"/>
  </si>
  <si>
    <t>Proximal tubule cells</t>
    <phoneticPr fontId="2" type="noConversion"/>
  </si>
  <si>
    <t>Tubular epithelial cells</t>
    <phoneticPr fontId="2" type="noConversion"/>
  </si>
  <si>
    <t>Connecting tubule cells</t>
    <phoneticPr fontId="2" type="noConversion"/>
  </si>
  <si>
    <t>Collecting Duct cells</t>
    <phoneticPr fontId="2" type="noConversion"/>
  </si>
  <si>
    <t>Podocytes</t>
    <phoneticPr fontId="2" type="noConversion"/>
  </si>
  <si>
    <t>Mesangium cells</t>
    <phoneticPr fontId="2" type="noConversion"/>
  </si>
  <si>
    <t>Glomerular cells</t>
    <phoneticPr fontId="2" type="noConversion"/>
  </si>
  <si>
    <t>Endothelial cells</t>
    <phoneticPr fontId="2" type="noConversion"/>
  </si>
  <si>
    <t>Fibroblasts</t>
    <phoneticPr fontId="2" type="noConversion"/>
  </si>
  <si>
    <t>Vascular and Stromal cells</t>
    <phoneticPr fontId="2" type="noConversion"/>
  </si>
  <si>
    <t>T cells</t>
    <phoneticPr fontId="2" type="noConversion"/>
  </si>
  <si>
    <t>Principal cells of collecting duct</t>
    <phoneticPr fontId="2" type="noConversion"/>
  </si>
  <si>
    <t>Intercalated cells of collecting duct</t>
    <phoneticPr fontId="2" type="noConversion"/>
  </si>
  <si>
    <t>Intercalated A cells of collecting duct</t>
    <phoneticPr fontId="2" type="noConversion"/>
  </si>
  <si>
    <t>Unknown</t>
    <phoneticPr fontId="2" type="noConversion"/>
  </si>
  <si>
    <t>Intercalated B cells of collecting duct</t>
    <phoneticPr fontId="2" type="noConversion"/>
  </si>
  <si>
    <t>Transitional cells of collecting duct</t>
    <phoneticPr fontId="2" type="noConversion"/>
  </si>
  <si>
    <t>Proximal tubule</t>
    <phoneticPr fontId="2" type="noConversion"/>
  </si>
  <si>
    <t>Descending loop of Henle</t>
    <phoneticPr fontId="2" type="noConversion"/>
  </si>
  <si>
    <t>Epithelial cells</t>
    <phoneticPr fontId="2" type="noConversion"/>
  </si>
  <si>
    <t>Myeloid cells</t>
    <phoneticPr fontId="2" type="noConversion"/>
  </si>
  <si>
    <t>Fibroblast</t>
    <phoneticPr fontId="2" type="noConversion"/>
  </si>
  <si>
    <t>Vascular cells</t>
    <phoneticPr fontId="2" type="noConversion"/>
  </si>
  <si>
    <t>SMC and Pericyte</t>
  </si>
  <si>
    <t>Usage</t>
    <phoneticPr fontId="1" type="noConversion"/>
  </si>
  <si>
    <t>Evaluation</t>
    <phoneticPr fontId="1" type="noConversion"/>
  </si>
  <si>
    <t>Source</t>
    <phoneticPr fontId="2" type="noConversion"/>
  </si>
  <si>
    <t>Paper DOI</t>
    <phoneticPr fontId="1" type="noConversion"/>
  </si>
  <si>
    <t>https://www.ncbi.nlm.nih.gov/geo/query/acc.cgi?acc=GSE135893; https://www.ncbi.nlm.nih.gov/geo/query/acc.cgi?acc=GSE227136</t>
    <phoneticPr fontId="1" type="noConversion"/>
  </si>
  <si>
    <t>Healthy</t>
    <phoneticPr fontId="2" type="noConversion"/>
  </si>
  <si>
    <t>Banovich_Kropski_2020_HLCA</t>
    <phoneticPr fontId="2" type="noConversion"/>
  </si>
  <si>
    <t>Denisenko_GSE141115</t>
    <phoneticPr fontId="1" type="noConversion"/>
  </si>
  <si>
    <t>Kidney</t>
    <phoneticPr fontId="1" type="noConversion"/>
  </si>
  <si>
    <t>Mus musculus</t>
    <phoneticPr fontId="1" type="noConversion"/>
  </si>
  <si>
    <t>https://www.ncbi.nlm.nih.gov/geo/query/acc.cgi?acc=GSE141115</t>
    <phoneticPr fontId="1" type="noConversion"/>
  </si>
  <si>
    <t>Rooij_GSE159585</t>
    <phoneticPr fontId="1" type="noConversion"/>
  </si>
  <si>
    <t>Lung</t>
    <phoneticPr fontId="1" type="noConversion"/>
  </si>
  <si>
    <t>https://www.ncbi.nlm.nih.gov/geo/query/acc.cgi?acc=GSE159585</t>
    <phoneticPr fontId="1" type="noConversion"/>
  </si>
  <si>
    <t>Application</t>
    <phoneticPr fontId="1" type="noConversion"/>
  </si>
  <si>
    <t>COVID-19</t>
    <phoneticPr fontId="2" type="noConversion"/>
  </si>
  <si>
    <t>Ramaswami_GSE226077</t>
    <phoneticPr fontId="1" type="noConversion"/>
  </si>
  <si>
    <t>iPSC-derived microgial-like cells</t>
    <phoneticPr fontId="1" type="noConversion"/>
  </si>
  <si>
    <t>Tissue/Cell type</t>
    <phoneticPr fontId="1" type="noConversion"/>
  </si>
  <si>
    <t>Number of samples</t>
    <phoneticPr fontId="2" type="noConversion"/>
  </si>
  <si>
    <t>https://www.ncbi.nlm.nih.gov/geo/query/acc.cgi?acc=GSE226077</t>
    <phoneticPr fontId="1" type="noConversion"/>
  </si>
  <si>
    <t>Activated myofibroblasts</t>
  </si>
  <si>
    <t>BayesPrism</t>
  </si>
  <si>
    <t>TAPE</t>
  </si>
  <si>
    <t>DISSECT</t>
  </si>
  <si>
    <t>Alveolar macrophages</t>
  </si>
  <si>
    <t>CD4 T cells</t>
  </si>
  <si>
    <t>Classical monocytes</t>
  </si>
  <si>
    <t>Club</t>
  </si>
  <si>
    <t>DC monocyte</t>
  </si>
  <si>
    <t>DC1</t>
  </si>
  <si>
    <t>Deuterosomal</t>
  </si>
  <si>
    <t>EC aerocyte capillary</t>
  </si>
  <si>
    <t>EC venous systemic</t>
  </si>
  <si>
    <t>Fibroblasts PLIN2+</t>
  </si>
  <si>
    <t>Goblet</t>
  </si>
  <si>
    <t>Macrophages MARCO-</t>
  </si>
  <si>
    <t>Macrophages SPP1 high</t>
  </si>
  <si>
    <t>NK cells</t>
  </si>
  <si>
    <t>Plasma cells</t>
  </si>
  <si>
    <t>Plasmacytoid DCs</t>
  </si>
  <si>
    <t>Model variant</t>
  </si>
  <si>
    <t>Recall (%)</t>
  </si>
  <si>
    <t>Precision (%)</t>
  </si>
  <si>
    <t>F1 Score</t>
  </si>
  <si>
    <t>Jaccard</t>
  </si>
  <si>
    <t>DeconvCell (Full)</t>
  </si>
  <si>
    <t>Ablated model (w/o Attention)</t>
  </si>
  <si>
    <t>DeconvSC</t>
  </si>
  <si>
    <t>https://www.science.org/doi/10.1126/sciadv.aba1972</t>
    <phoneticPr fontId="1" type="noConversion"/>
  </si>
  <si>
    <t>Supplement Table 1. General information of datasets</t>
    <phoneticPr fontId="1" type="noConversion"/>
  </si>
  <si>
    <t>https://doi.org/10.1186/s13059-020-02048-6</t>
    <phoneticPr fontId="1" type="noConversion"/>
  </si>
  <si>
    <t>https://doi.org/10.1093/cvr/cvac139</t>
    <phoneticPr fontId="1" type="noConversion"/>
  </si>
  <si>
    <t>https://doi.org/10.1038/s41598-024-52311-0</t>
    <phoneticPr fontId="1" type="noConversion"/>
  </si>
  <si>
    <t>CIBERSORTx</t>
  </si>
  <si>
    <t>Collecting_Duct</t>
  </si>
  <si>
    <t>Glomerular</t>
  </si>
  <si>
    <t>Immune</t>
  </si>
  <si>
    <t>Tubular_Epithelial</t>
  </si>
  <si>
    <t>Vascular_Stromal</t>
  </si>
  <si>
    <t>Bcell</t>
  </si>
  <si>
    <t>Epithelial</t>
  </si>
  <si>
    <t>Myeloid</t>
  </si>
  <si>
    <t>NKcell</t>
  </si>
  <si>
    <t>Method</t>
  </si>
  <si>
    <t>Cell type</t>
  </si>
  <si>
    <t xml:space="preserve"> </t>
  </si>
  <si>
    <t xml:space="preserve">  </t>
  </si>
  <si>
    <t>Transitional AT2</t>
  </si>
  <si>
    <t xml:space="preserve">True positive </t>
    <phoneticPr fontId="2" type="noConversion"/>
  </si>
  <si>
    <t>All gene profile-wise PCC</t>
  </si>
  <si>
    <t>Marker gene profile-wise PCC</t>
  </si>
  <si>
    <t>Others</t>
  </si>
  <si>
    <t>Number of detected pathways</t>
    <phoneticPr fontId="2" type="noConversion"/>
  </si>
  <si>
    <t>PCC, Pearson correlation coefficient</t>
    <phoneticPr fontId="1" type="noConversion"/>
  </si>
  <si>
    <t>Supplement Table 2. Profile-wise benchmark metrics for simulated HCA dataset</t>
    <phoneticPr fontId="2" type="noConversion"/>
  </si>
  <si>
    <t>Supplement Table 3. Gene-wise benchmark metrics for simulated HCA dataset</t>
    <phoneticPr fontId="1" type="noConversion"/>
  </si>
  <si>
    <t>Supplement Table 4. Profile-wise benchmark metrics for GSE141115 dataset</t>
    <phoneticPr fontId="1" type="noConversion"/>
  </si>
  <si>
    <t>Supplement Table 5. Gene-wise benchmark metrics for GSE141115 dataset</t>
    <phoneticPr fontId="1" type="noConversion"/>
  </si>
  <si>
    <t>Supplement Table 6. Profile-wise benchmark metrics for GSE159585 dataset</t>
    <phoneticPr fontId="1" type="noConversion"/>
  </si>
  <si>
    <t>Supplement Table 7. Gene-wise benchmark metrics for GSE159585 dataset</t>
    <phoneticPr fontId="1" type="noConversion"/>
  </si>
  <si>
    <t>Supplement Table 8. Quantitative comparison of differential cell-cell interactions between DeconvSC and the attention-ablated model</t>
    <phoneticPr fontId="1" type="noConversion"/>
  </si>
  <si>
    <t>Supplement Table9. Cell type in reference HCA dataset</t>
    <phoneticPr fontId="1" type="noConversion"/>
  </si>
  <si>
    <t>Supplement Table 10. Cell type in reference GSE141115 dataset</t>
    <phoneticPr fontId="1" type="noConversion"/>
  </si>
  <si>
    <t>Supplement Table 11. Cell type in reference GSE159585 dataset</t>
    <phoneticPr fontId="1" type="noConversion"/>
  </si>
  <si>
    <t>Supplement Table 12. Cell type in reference GSE226077 dataset</t>
    <phoneticPr fontId="1" type="noConversion"/>
  </si>
  <si>
    <t>All gene gene-wise PCC (mean)</t>
    <phoneticPr fontId="1" type="noConversion"/>
  </si>
  <si>
    <t>All gene gene-wise PCC (median)</t>
    <phoneticPr fontId="1" type="noConversion"/>
  </si>
  <si>
    <t>Marker gene gene-wise PCC (mean)</t>
    <phoneticPr fontId="2" type="noConversion"/>
  </si>
  <si>
    <t>Marker gene gene-wise PCC (median)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</si>
</sst>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u/>
      <sz val="12"/>
      <color theme="10"/>
      <name val="宋体"/>
      <family val="3"/>
      <charset val="134"/>
      <scheme val="minor"/>
    </font>
    <font>
      <sz val="12"/>
      <color indexed="8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5" fillId="0" borderId="0" applyNumberFormat="0" applyFill="0" applyBorder="0" applyAlignment="0" applyProtection="0">
      <alignment vertical="center"/>
    </xf>
  </cellStyleXfs>
  <cellXfs count="21">
    <xf numFmtId="0" fontId="0" fillId="0" borderId="0" xfId="0" applyAlignment="1">
      <alignment vertical="center"/>
    </xf>
    <xf numFmtId="0" fontId="4" fillId="0" borderId="0" xfId="1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2" applyFont="1" applyAlignment="1">
      <alignment vertical="center"/>
    </xf>
    <xf numFmtId="0" fontId="4" fillId="0" borderId="0" xfId="0" applyFont="1" applyAlignment="1">
      <alignment horizontal="left" vertical="center"/>
    </xf>
    <xf numFmtId="0" fontId="8" fillId="0" borderId="0" xfId="0" applyNumberFormat="1" applyFont="1" applyFill="1" applyBorder="1" applyAlignment="1" applyProtection="1">
      <alignment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NumberFormat="1" applyFont="1" applyFill="1" applyBorder="1" applyAlignment="1" applyProtection="1">
      <alignment vertical="center"/>
    </xf>
    <xf numFmtId="0" fontId="10" fillId="0" borderId="0" xfId="0" quotePrefix="1" applyNumberFormat="1" applyFont="1" applyFill="1" applyBorder="1" applyAlignment="1" applyProtection="1">
      <alignment vertical="center"/>
    </xf>
    <xf numFmtId="0" fontId="11" fillId="0" borderId="0" xfId="1" applyFont="1"/>
    <xf numFmtId="0" fontId="5" fillId="0" borderId="0" xfId="2" applyAlignment="1">
      <alignment vertical="center"/>
    </xf>
    <xf numFmtId="0" fontId="11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left" vertical="center"/>
    </xf>
    <xf numFmtId="0" fontId="12" fillId="0" borderId="0" xfId="0" applyNumberFormat="1" applyFont="1" applyFill="1" applyBorder="1" applyAlignment="1" applyProtection="1">
      <alignment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quotePrefix="1" applyNumberFormat="1" applyFont="1" applyFill="1" applyBorder="1" applyAlignment="1" applyProtection="1">
      <alignment vertical="center"/>
    </xf>
  </cellXfs>
  <cellStyles count="3">
    <cellStyle name="常规" xfId="0" builtinId="0"/>
    <cellStyle name="常规 2" xfId="1" xr:uid="{7E02A920-C84E-4FA1-90D5-7A101CC78079}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93/cvr/cvac139" TargetMode="External"/><Relationship Id="rId3" Type="http://schemas.openxmlformats.org/officeDocument/2006/relationships/hyperlink" Target="https://www.ncbi.nlm.nih.gov/geo/query/acc.cgi?acc=GSE159585" TargetMode="External"/><Relationship Id="rId7" Type="http://schemas.openxmlformats.org/officeDocument/2006/relationships/hyperlink" Target="https://doi.org/10.1186/s13059-020-02048-6" TargetMode="External"/><Relationship Id="rId2" Type="http://schemas.openxmlformats.org/officeDocument/2006/relationships/hyperlink" Target="https://www.ncbi.nlm.nih.gov/geo/query/acc.cgi?acc=GSE141115" TargetMode="External"/><Relationship Id="rId1" Type="http://schemas.openxmlformats.org/officeDocument/2006/relationships/hyperlink" Target="https://www.ncbi.nlm.nih.gov/geo/query/acc.cgi?acc=GSE135893" TargetMode="External"/><Relationship Id="rId6" Type="http://schemas.openxmlformats.org/officeDocument/2006/relationships/hyperlink" Target="https://www.science.org/doi/10.1126/sciadv.aba1972" TargetMode="External"/><Relationship Id="rId5" Type="http://schemas.openxmlformats.org/officeDocument/2006/relationships/hyperlink" Target="https://www.ncbi.nlm.nih.gov/geo/query/acc.cgi?acc=GSE226077" TargetMode="External"/><Relationship Id="rId10" Type="http://schemas.openxmlformats.org/officeDocument/2006/relationships/hyperlink" Target="https://doi.org/10.1038/s41598-024-52311-0" TargetMode="External"/><Relationship Id="rId4" Type="http://schemas.openxmlformats.org/officeDocument/2006/relationships/hyperlink" Target="https://www.ncbi.nlm.nih.gov/geo/query/acc.cgi?acc=GSE159585" TargetMode="External"/><Relationship Id="rId9" Type="http://schemas.openxmlformats.org/officeDocument/2006/relationships/hyperlink" Target="https://doi.org/10.1093/cvr/cvac13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E7B01-97ED-467D-B088-CDF05BC3C5E8}">
  <dimension ref="A1:J25"/>
  <sheetViews>
    <sheetView workbookViewId="0">
      <selection activeCell="B24" sqref="B24"/>
    </sheetView>
  </sheetViews>
  <sheetFormatPr defaultRowHeight="15.6" x14ac:dyDescent="0.25"/>
  <cols>
    <col min="1" max="1" width="30.109375" style="3" customWidth="1"/>
    <col min="2" max="2" width="32.33203125" style="3" customWidth="1"/>
    <col min="3" max="3" width="14.44140625" style="3" customWidth="1"/>
    <col min="4" max="4" width="16" style="3" customWidth="1"/>
    <col min="5" max="5" width="15.88671875" style="3" customWidth="1"/>
    <col min="6" max="6" width="20.33203125" style="3" customWidth="1"/>
    <col min="7" max="7" width="19.33203125" style="3" customWidth="1"/>
    <col min="8" max="8" width="13.109375" style="3" customWidth="1"/>
    <col min="9" max="9" width="52.44140625" style="3" customWidth="1"/>
    <col min="10" max="10" width="21.109375" style="3" customWidth="1"/>
    <col min="11" max="16384" width="8.88671875" style="3"/>
  </cols>
  <sheetData>
    <row r="1" spans="1:10" x14ac:dyDescent="0.3">
      <c r="A1" s="11" t="s">
        <v>208</v>
      </c>
      <c r="B1" s="1"/>
    </row>
    <row r="3" spans="1:10" s="18" customFormat="1" x14ac:dyDescent="0.25">
      <c r="A3" s="17" t="s">
        <v>44</v>
      </c>
      <c r="B3" s="17" t="s">
        <v>176</v>
      </c>
      <c r="C3" s="17" t="s">
        <v>45</v>
      </c>
      <c r="D3" s="17" t="s">
        <v>48</v>
      </c>
      <c r="E3" s="17" t="s">
        <v>46</v>
      </c>
      <c r="F3" s="17" t="s">
        <v>51</v>
      </c>
      <c r="G3" s="17" t="s">
        <v>177</v>
      </c>
      <c r="H3" s="17" t="s">
        <v>158</v>
      </c>
      <c r="I3" s="17" t="s">
        <v>161</v>
      </c>
      <c r="J3" s="17" t="s">
        <v>160</v>
      </c>
    </row>
    <row r="4" spans="1:10" x14ac:dyDescent="0.25">
      <c r="A4" s="2" t="s">
        <v>164</v>
      </c>
      <c r="B4" s="2" t="s">
        <v>49</v>
      </c>
      <c r="C4" s="2" t="s">
        <v>163</v>
      </c>
      <c r="D4" s="2" t="s">
        <v>50</v>
      </c>
      <c r="E4" s="14">
        <v>121894</v>
      </c>
      <c r="F4" s="5">
        <v>23</v>
      </c>
      <c r="G4" s="5">
        <v>38</v>
      </c>
      <c r="H4" s="2" t="s">
        <v>159</v>
      </c>
      <c r="I4" s="12" t="s">
        <v>207</v>
      </c>
      <c r="J4" s="2" t="s">
        <v>162</v>
      </c>
    </row>
    <row r="5" spans="1:10" x14ac:dyDescent="0.25">
      <c r="A5" s="2" t="s">
        <v>165</v>
      </c>
      <c r="B5" s="2" t="s">
        <v>166</v>
      </c>
      <c r="C5" s="2" t="s">
        <v>163</v>
      </c>
      <c r="D5" s="2" t="s">
        <v>167</v>
      </c>
      <c r="E5" s="14">
        <v>80323</v>
      </c>
      <c r="F5" s="5">
        <v>21</v>
      </c>
      <c r="G5" s="5">
        <v>20</v>
      </c>
      <c r="H5" s="2" t="s">
        <v>159</v>
      </c>
      <c r="I5" s="12" t="s">
        <v>209</v>
      </c>
      <c r="J5" s="4" t="s">
        <v>168</v>
      </c>
    </row>
    <row r="6" spans="1:10" x14ac:dyDescent="0.25">
      <c r="A6" s="2" t="s">
        <v>169</v>
      </c>
      <c r="B6" s="2" t="s">
        <v>170</v>
      </c>
      <c r="C6" s="2" t="s">
        <v>163</v>
      </c>
      <c r="D6" s="2" t="s">
        <v>50</v>
      </c>
      <c r="E6" s="14">
        <v>60968</v>
      </c>
      <c r="F6" s="5">
        <v>62</v>
      </c>
      <c r="G6" s="5">
        <v>7</v>
      </c>
      <c r="H6" s="2" t="s">
        <v>159</v>
      </c>
      <c r="I6" s="12" t="s">
        <v>210</v>
      </c>
      <c r="J6" s="4" t="s">
        <v>171</v>
      </c>
    </row>
    <row r="7" spans="1:10" x14ac:dyDescent="0.25">
      <c r="A7" s="2" t="s">
        <v>169</v>
      </c>
      <c r="B7" s="2" t="s">
        <v>170</v>
      </c>
      <c r="C7" s="2" t="s">
        <v>173</v>
      </c>
      <c r="D7" s="2" t="s">
        <v>50</v>
      </c>
      <c r="E7" s="14">
        <v>28386</v>
      </c>
      <c r="F7" s="5">
        <v>62</v>
      </c>
      <c r="G7" s="5">
        <v>7</v>
      </c>
      <c r="H7" s="2" t="s">
        <v>172</v>
      </c>
      <c r="I7" s="12" t="s">
        <v>210</v>
      </c>
      <c r="J7" s="4" t="s">
        <v>171</v>
      </c>
    </row>
    <row r="8" spans="1:10" x14ac:dyDescent="0.25">
      <c r="A8" s="2" t="s">
        <v>174</v>
      </c>
      <c r="B8" s="2" t="s">
        <v>175</v>
      </c>
      <c r="C8" s="2" t="s">
        <v>163</v>
      </c>
      <c r="D8" s="2" t="s">
        <v>50</v>
      </c>
      <c r="E8" s="14">
        <v>31995</v>
      </c>
      <c r="F8" s="5">
        <v>5</v>
      </c>
      <c r="G8" s="5">
        <v>15</v>
      </c>
      <c r="H8" s="2" t="s">
        <v>172</v>
      </c>
      <c r="I8" s="12" t="s">
        <v>211</v>
      </c>
      <c r="J8" s="4" t="s">
        <v>178</v>
      </c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</sheetData>
  <phoneticPr fontId="1" type="noConversion"/>
  <hyperlinks>
    <hyperlink ref="J4" r:id="rId1" display="https://www.ncbi.nlm.nih.gov/geo/query/acc.cgi?acc=GSE135893" xr:uid="{042C160E-CB63-4A28-BE24-81A5043CC5C8}"/>
    <hyperlink ref="J5" r:id="rId2" xr:uid="{9FCDF468-0076-4B9B-82E2-1CBB7D341268}"/>
    <hyperlink ref="J6" r:id="rId3" xr:uid="{D0C0B48E-7169-45E1-A163-BCF663A034BB}"/>
    <hyperlink ref="J7" r:id="rId4" xr:uid="{D0B45C2F-7920-4B1B-82B8-B02CC5F70E48}"/>
    <hyperlink ref="J8" r:id="rId5" xr:uid="{1BFB5B0C-B027-451E-A84C-35EBBA10A297}"/>
    <hyperlink ref="I4" r:id="rId6" xr:uid="{B94618CE-954B-4C47-99D9-5ED30770C043}"/>
    <hyperlink ref="I5" r:id="rId7" xr:uid="{769CA684-4FA3-434D-B204-F0AA767C4466}"/>
    <hyperlink ref="I6" r:id="rId8" xr:uid="{D7954231-D5A5-4D67-8EAC-ADD24E504E02}"/>
    <hyperlink ref="I7" r:id="rId9" xr:uid="{7029A2A4-97CC-41CD-9697-3A7C1D8EEEED}"/>
    <hyperlink ref="I8" r:id="rId10" xr:uid="{DC074EA7-CB85-4A1C-95C0-DF72430DA4D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1865-D556-4E6E-847B-D3ADD7D23790}">
  <dimension ref="A1:K106"/>
  <sheetViews>
    <sheetView workbookViewId="0">
      <selection activeCell="A107" sqref="A107:XFD107"/>
    </sheetView>
  </sheetViews>
  <sheetFormatPr defaultRowHeight="14.4" x14ac:dyDescent="0.25"/>
  <cols>
    <col min="1" max="1" width="31.44140625" customWidth="1"/>
    <col min="2" max="2" width="22.33203125" customWidth="1"/>
    <col min="3" max="3" width="21.6640625" customWidth="1"/>
    <col min="4" max="4" width="30.77734375" customWidth="1"/>
    <col min="7" max="7" width="13.21875" customWidth="1"/>
    <col min="8" max="11" width="29.21875" customWidth="1"/>
  </cols>
  <sheetData>
    <row r="1" spans="1:11" ht="15.6" x14ac:dyDescent="0.3">
      <c r="A1" s="11" t="s">
        <v>233</v>
      </c>
    </row>
    <row r="3" spans="1:11" s="19" customFormat="1" x14ac:dyDescent="0.25">
      <c r="A3" s="16" t="s">
        <v>222</v>
      </c>
      <c r="B3" s="16" t="s">
        <v>223</v>
      </c>
      <c r="C3" s="16" t="s">
        <v>228</v>
      </c>
      <c r="D3" s="16" t="s">
        <v>229</v>
      </c>
      <c r="E3" s="16" t="s">
        <v>224</v>
      </c>
      <c r="F3" s="16" t="s">
        <v>225</v>
      </c>
      <c r="G3" s="16"/>
      <c r="H3" s="16"/>
      <c r="I3" s="16"/>
      <c r="J3" s="16"/>
      <c r="K3" s="16"/>
    </row>
    <row r="4" spans="1:11" x14ac:dyDescent="0.25">
      <c r="A4" s="8" t="s">
        <v>206</v>
      </c>
      <c r="B4" s="8" t="s">
        <v>179</v>
      </c>
      <c r="C4" s="8">
        <v>0.88229999999999997</v>
      </c>
      <c r="D4" s="8">
        <v>0.92059999999999997</v>
      </c>
      <c r="E4" s="8"/>
      <c r="F4" s="8"/>
      <c r="G4" s="8"/>
      <c r="H4" s="8"/>
      <c r="I4" s="8"/>
      <c r="J4" s="8"/>
      <c r="K4" s="8"/>
    </row>
    <row r="5" spans="1:11" x14ac:dyDescent="0.25">
      <c r="A5" s="8" t="s">
        <v>206</v>
      </c>
      <c r="B5" s="8" t="s">
        <v>183</v>
      </c>
      <c r="C5" s="8">
        <v>0.92369999999999997</v>
      </c>
      <c r="D5" s="8">
        <v>0.95809999999999995</v>
      </c>
      <c r="E5" s="8"/>
      <c r="F5" s="8"/>
      <c r="G5" s="8"/>
      <c r="H5" s="8"/>
      <c r="I5" s="8"/>
      <c r="J5" s="8"/>
      <c r="K5" s="8"/>
    </row>
    <row r="6" spans="1:11" x14ac:dyDescent="0.25">
      <c r="A6" s="8" t="s">
        <v>206</v>
      </c>
      <c r="B6" s="8" t="s">
        <v>125</v>
      </c>
      <c r="C6" s="8">
        <v>0.76559999999999995</v>
      </c>
      <c r="D6" s="8">
        <v>0.88170000000000004</v>
      </c>
      <c r="E6" s="8"/>
      <c r="F6" s="8"/>
      <c r="G6" s="8"/>
      <c r="H6" s="8"/>
      <c r="I6" s="8"/>
      <c r="J6" s="8"/>
      <c r="K6" s="8"/>
    </row>
    <row r="7" spans="1:11" x14ac:dyDescent="0.25">
      <c r="A7" s="8" t="s">
        <v>206</v>
      </c>
      <c r="B7" s="8" t="s">
        <v>184</v>
      </c>
      <c r="C7" s="8">
        <v>0.81879999999999997</v>
      </c>
      <c r="D7" s="8">
        <v>0.90659999999999996</v>
      </c>
      <c r="E7" s="8"/>
      <c r="F7" s="8"/>
      <c r="G7" s="8"/>
      <c r="H7" s="8"/>
      <c r="I7" s="8"/>
      <c r="J7" s="8"/>
      <c r="K7" s="8"/>
    </row>
    <row r="8" spans="1:11" x14ac:dyDescent="0.25">
      <c r="A8" s="8" t="s">
        <v>206</v>
      </c>
      <c r="B8" s="8" t="s">
        <v>185</v>
      </c>
      <c r="C8" s="8">
        <v>0.85109999999999997</v>
      </c>
      <c r="D8" s="8">
        <v>0.91339999999999999</v>
      </c>
      <c r="E8" s="8"/>
      <c r="F8" s="8"/>
      <c r="G8" s="8"/>
      <c r="H8" s="8"/>
      <c r="I8" s="8"/>
      <c r="J8" s="8"/>
      <c r="K8" s="8"/>
    </row>
    <row r="9" spans="1:11" x14ac:dyDescent="0.25">
      <c r="A9" s="8" t="s">
        <v>206</v>
      </c>
      <c r="B9" s="8" t="s">
        <v>186</v>
      </c>
      <c r="C9" s="8">
        <v>0.87370000000000003</v>
      </c>
      <c r="D9" s="8">
        <v>0.93089999999999995</v>
      </c>
      <c r="E9" s="8"/>
      <c r="F9" s="8"/>
      <c r="G9" s="8"/>
      <c r="H9" s="8"/>
      <c r="I9" s="8"/>
      <c r="J9" s="8"/>
      <c r="K9" s="8"/>
    </row>
    <row r="10" spans="1:11" x14ac:dyDescent="0.25">
      <c r="A10" s="8" t="s">
        <v>206</v>
      </c>
      <c r="B10" s="8" t="s">
        <v>187</v>
      </c>
      <c r="C10" s="8">
        <v>0.86370000000000002</v>
      </c>
      <c r="D10" s="8">
        <v>0.93169999999999997</v>
      </c>
      <c r="E10" s="8"/>
      <c r="F10" s="8"/>
      <c r="G10" s="8"/>
      <c r="H10" s="8"/>
      <c r="I10" s="8"/>
      <c r="J10" s="8"/>
      <c r="K10" s="8"/>
    </row>
    <row r="11" spans="1:11" x14ac:dyDescent="0.25">
      <c r="A11" s="8" t="s">
        <v>206</v>
      </c>
      <c r="B11" s="8" t="s">
        <v>188</v>
      </c>
      <c r="C11" s="8">
        <v>0.85809999999999997</v>
      </c>
      <c r="D11" s="8">
        <v>0.92730000000000001</v>
      </c>
      <c r="E11" s="8"/>
      <c r="F11" s="8"/>
      <c r="G11" s="8"/>
      <c r="H11" s="8"/>
      <c r="I11" s="8"/>
      <c r="J11" s="8"/>
      <c r="K11" s="8"/>
    </row>
    <row r="12" spans="1:11" x14ac:dyDescent="0.25">
      <c r="A12" s="8" t="s">
        <v>206</v>
      </c>
      <c r="B12" s="8" t="s">
        <v>189</v>
      </c>
      <c r="C12" s="8">
        <v>0.89639999999999997</v>
      </c>
      <c r="D12" s="8">
        <v>0.93869999999999998</v>
      </c>
      <c r="E12" s="8"/>
      <c r="F12" s="8"/>
      <c r="G12" s="8"/>
      <c r="H12" s="8"/>
      <c r="I12" s="8"/>
      <c r="J12" s="8"/>
      <c r="K12" s="8"/>
    </row>
    <row r="13" spans="1:11" x14ac:dyDescent="0.25">
      <c r="A13" s="8" t="s">
        <v>206</v>
      </c>
      <c r="B13" s="8" t="s">
        <v>190</v>
      </c>
      <c r="C13" s="8">
        <v>0.81759999999999999</v>
      </c>
      <c r="D13" s="8">
        <v>0.88460000000000005</v>
      </c>
      <c r="E13" s="8"/>
      <c r="F13" s="8"/>
      <c r="G13" s="8"/>
      <c r="H13" s="8"/>
      <c r="I13" s="8"/>
      <c r="J13" s="8"/>
      <c r="K13" s="8"/>
    </row>
    <row r="14" spans="1:11" x14ac:dyDescent="0.25">
      <c r="A14" s="8" t="s">
        <v>206</v>
      </c>
      <c r="B14" s="8" t="s">
        <v>191</v>
      </c>
      <c r="C14" s="8">
        <v>0.85819999999999996</v>
      </c>
      <c r="D14" s="8">
        <v>0.9204</v>
      </c>
      <c r="E14" s="8"/>
      <c r="F14" s="8"/>
      <c r="G14" s="8"/>
      <c r="H14" s="8"/>
      <c r="I14" s="8"/>
      <c r="J14" s="8"/>
      <c r="K14" s="8"/>
    </row>
    <row r="15" spans="1:11" x14ac:dyDescent="0.25">
      <c r="A15" s="8" t="s">
        <v>206</v>
      </c>
      <c r="B15" s="8" t="s">
        <v>192</v>
      </c>
      <c r="C15" s="8">
        <v>0.89449999999999996</v>
      </c>
      <c r="D15" s="8">
        <v>0.9395</v>
      </c>
      <c r="E15" s="8"/>
      <c r="F15" s="8"/>
      <c r="G15" s="8"/>
      <c r="H15" s="8"/>
      <c r="I15" s="8"/>
      <c r="J15" s="8"/>
      <c r="K15" s="8"/>
    </row>
    <row r="16" spans="1:11" x14ac:dyDescent="0.25">
      <c r="A16" s="8" t="s">
        <v>206</v>
      </c>
      <c r="B16" s="8" t="s">
        <v>193</v>
      </c>
      <c r="C16" s="8">
        <v>0.8468</v>
      </c>
      <c r="D16" s="8">
        <v>0.93430000000000002</v>
      </c>
      <c r="E16" s="8"/>
      <c r="F16" s="8"/>
      <c r="G16" s="8"/>
      <c r="H16" s="8"/>
      <c r="I16" s="8"/>
      <c r="J16" s="8"/>
      <c r="K16" s="8"/>
    </row>
    <row r="17" spans="1:11" x14ac:dyDescent="0.25">
      <c r="A17" s="8" t="s">
        <v>206</v>
      </c>
      <c r="B17" s="8" t="s">
        <v>194</v>
      </c>
      <c r="C17" s="8">
        <v>0.90390000000000004</v>
      </c>
      <c r="D17" s="8">
        <v>0.94220000000000004</v>
      </c>
      <c r="E17" s="8"/>
      <c r="F17" s="8"/>
      <c r="G17" s="8"/>
      <c r="H17" s="8"/>
      <c r="I17" s="8"/>
      <c r="J17" s="8"/>
      <c r="K17" s="8"/>
    </row>
    <row r="18" spans="1:11" x14ac:dyDescent="0.25">
      <c r="A18" s="8" t="s">
        <v>206</v>
      </c>
      <c r="B18" s="8" t="s">
        <v>195</v>
      </c>
      <c r="C18" s="8">
        <v>0.88829999999999998</v>
      </c>
      <c r="D18" s="8">
        <v>0.93410000000000004</v>
      </c>
      <c r="E18" s="8"/>
      <c r="F18" s="8"/>
      <c r="G18" s="8"/>
      <c r="H18" s="8"/>
      <c r="I18" s="8"/>
      <c r="J18" s="8"/>
      <c r="K18" s="8"/>
    </row>
    <row r="19" spans="1:11" x14ac:dyDescent="0.25">
      <c r="A19" s="8" t="s">
        <v>206</v>
      </c>
      <c r="B19" s="8" t="s">
        <v>196</v>
      </c>
      <c r="C19" s="8">
        <v>0.76329999999999998</v>
      </c>
      <c r="D19" s="8">
        <v>0.86009999999999998</v>
      </c>
      <c r="E19" s="8"/>
      <c r="F19" s="8"/>
      <c r="G19" s="8"/>
      <c r="H19" s="8"/>
      <c r="I19" s="8"/>
      <c r="J19" s="8"/>
      <c r="K19" s="8"/>
    </row>
    <row r="20" spans="1:11" x14ac:dyDescent="0.25">
      <c r="A20" s="8" t="s">
        <v>206</v>
      </c>
      <c r="B20" s="8" t="s">
        <v>230</v>
      </c>
      <c r="C20" s="8">
        <v>0.84389999999999998</v>
      </c>
      <c r="D20" s="8">
        <v>0.82540000000000002</v>
      </c>
      <c r="E20" s="8"/>
      <c r="F20" s="8"/>
      <c r="G20" s="8"/>
      <c r="H20" s="8"/>
      <c r="I20" s="8"/>
      <c r="J20" s="8"/>
      <c r="K20" s="8"/>
    </row>
    <row r="21" spans="1:11" x14ac:dyDescent="0.25">
      <c r="A21" s="8" t="s">
        <v>206</v>
      </c>
      <c r="B21" s="8" t="s">
        <v>11</v>
      </c>
      <c r="C21" s="8">
        <v>0.74199999999999999</v>
      </c>
      <c r="D21" s="8">
        <v>0.8458</v>
      </c>
      <c r="E21" s="8"/>
      <c r="F21" s="8"/>
      <c r="G21" s="8"/>
      <c r="H21" s="8"/>
      <c r="I21" s="8"/>
      <c r="J21" s="8"/>
      <c r="K21" s="8"/>
    </row>
    <row r="22" spans="1:11" x14ac:dyDescent="0.25">
      <c r="A22" s="8" t="s">
        <v>206</v>
      </c>
      <c r="B22" s="8" t="s">
        <v>197</v>
      </c>
      <c r="C22" s="8">
        <v>0.78700000000000003</v>
      </c>
      <c r="D22" s="8">
        <v>0.84799999999999998</v>
      </c>
      <c r="E22" s="8"/>
      <c r="F22" s="8"/>
      <c r="G22" s="8"/>
      <c r="H22" s="8"/>
      <c r="I22" s="8"/>
      <c r="J22" s="8"/>
      <c r="K22" s="8"/>
    </row>
    <row r="23" spans="1:11" x14ac:dyDescent="0.25">
      <c r="A23" s="8" t="s">
        <v>206</v>
      </c>
      <c r="B23" s="8" t="s">
        <v>226</v>
      </c>
      <c r="C23" s="8">
        <v>0.81030000000000002</v>
      </c>
      <c r="D23" s="8">
        <v>0.90049999999999997</v>
      </c>
      <c r="E23" s="8"/>
      <c r="F23" s="8"/>
      <c r="G23" s="8"/>
      <c r="H23" s="8"/>
      <c r="I23" s="8"/>
      <c r="J23" s="8"/>
      <c r="K23" s="8"/>
    </row>
    <row r="24" spans="1:11" x14ac:dyDescent="0.25">
      <c r="A24" s="8" t="s">
        <v>180</v>
      </c>
      <c r="B24" s="8" t="s">
        <v>179</v>
      </c>
      <c r="C24" s="8">
        <v>0.86360000000000003</v>
      </c>
      <c r="D24" s="8">
        <v>0.92169999999999996</v>
      </c>
      <c r="E24" s="8"/>
      <c r="F24" s="8"/>
      <c r="G24" s="8"/>
      <c r="H24" s="8"/>
      <c r="I24" s="8"/>
      <c r="J24" s="8"/>
      <c r="K24" s="8"/>
    </row>
    <row r="25" spans="1:11" x14ac:dyDescent="0.25">
      <c r="A25" s="8" t="s">
        <v>180</v>
      </c>
      <c r="B25" s="8" t="s">
        <v>183</v>
      </c>
      <c r="C25" s="8">
        <v>0.91879999999999995</v>
      </c>
      <c r="D25" s="8">
        <v>0.96030000000000004</v>
      </c>
      <c r="E25" s="8"/>
      <c r="F25" s="8"/>
      <c r="G25" s="8"/>
      <c r="H25" s="8"/>
      <c r="I25" s="8"/>
      <c r="J25" s="8"/>
      <c r="K25" s="8"/>
    </row>
    <row r="26" spans="1:11" x14ac:dyDescent="0.25">
      <c r="A26" s="8" t="s">
        <v>180</v>
      </c>
      <c r="B26" s="8" t="s">
        <v>125</v>
      </c>
      <c r="C26" s="8">
        <v>0.79900000000000004</v>
      </c>
      <c r="D26" s="8">
        <v>0.8639</v>
      </c>
      <c r="E26" s="8"/>
      <c r="F26" s="8"/>
      <c r="G26" s="8"/>
      <c r="H26" s="8"/>
      <c r="I26" s="8"/>
      <c r="J26" s="8"/>
      <c r="K26" s="8"/>
    </row>
    <row r="27" spans="1:11" x14ac:dyDescent="0.25">
      <c r="A27" s="8" t="s">
        <v>180</v>
      </c>
      <c r="B27" s="8" t="s">
        <v>184</v>
      </c>
      <c r="C27" s="8">
        <v>0.80710000000000004</v>
      </c>
      <c r="D27" s="8">
        <v>0.88890000000000002</v>
      </c>
      <c r="E27" s="8"/>
      <c r="F27" s="8"/>
      <c r="G27" s="8"/>
      <c r="H27" s="8"/>
      <c r="I27" s="8"/>
      <c r="J27" s="8"/>
      <c r="K27" s="8"/>
    </row>
    <row r="28" spans="1:11" x14ac:dyDescent="0.25">
      <c r="A28" s="8" t="s">
        <v>180</v>
      </c>
      <c r="B28" s="8" t="s">
        <v>185</v>
      </c>
      <c r="C28" s="8">
        <v>0.85309999999999997</v>
      </c>
      <c r="D28" s="8">
        <v>0.90780000000000005</v>
      </c>
      <c r="E28" s="8"/>
      <c r="F28" s="8"/>
      <c r="G28" s="8"/>
      <c r="H28" s="8"/>
      <c r="I28" s="8"/>
      <c r="J28" s="8"/>
      <c r="K28" s="8"/>
    </row>
    <row r="29" spans="1:11" x14ac:dyDescent="0.25">
      <c r="A29" s="8" t="s">
        <v>180</v>
      </c>
      <c r="B29" s="8" t="s">
        <v>186</v>
      </c>
      <c r="C29" s="8">
        <v>0.84009999999999996</v>
      </c>
      <c r="D29" s="8">
        <v>0.90259999999999996</v>
      </c>
      <c r="E29" s="8"/>
      <c r="F29" s="8"/>
      <c r="G29" s="8"/>
      <c r="H29" s="8"/>
      <c r="I29" s="8"/>
      <c r="J29" s="8"/>
      <c r="K29" s="8"/>
    </row>
    <row r="30" spans="1:11" x14ac:dyDescent="0.25">
      <c r="A30" s="8" t="s">
        <v>180</v>
      </c>
      <c r="B30" s="8" t="s">
        <v>187</v>
      </c>
      <c r="C30" s="8">
        <v>0.86240000000000006</v>
      </c>
      <c r="D30" s="8">
        <v>0.93169999999999997</v>
      </c>
      <c r="E30" s="8"/>
      <c r="F30" s="8"/>
      <c r="G30" s="8"/>
      <c r="H30" s="8"/>
      <c r="I30" s="8"/>
      <c r="J30" s="8"/>
      <c r="K30" s="8"/>
    </row>
    <row r="31" spans="1:11" x14ac:dyDescent="0.25">
      <c r="A31" s="8" t="s">
        <v>180</v>
      </c>
      <c r="B31" s="8" t="s">
        <v>188</v>
      </c>
      <c r="C31" s="8">
        <v>0.83860000000000001</v>
      </c>
      <c r="D31" s="8">
        <v>0.89610000000000001</v>
      </c>
      <c r="E31" s="8"/>
      <c r="F31" s="8"/>
      <c r="G31" s="8"/>
      <c r="H31" s="8"/>
      <c r="I31" s="8"/>
      <c r="J31" s="8"/>
      <c r="K31" s="8"/>
    </row>
    <row r="32" spans="1:11" x14ac:dyDescent="0.25">
      <c r="A32" s="8" t="s">
        <v>180</v>
      </c>
      <c r="B32" s="8" t="s">
        <v>189</v>
      </c>
      <c r="C32" s="8">
        <v>0.84660000000000002</v>
      </c>
      <c r="D32" s="8">
        <v>0.90580000000000005</v>
      </c>
      <c r="E32" s="8"/>
      <c r="F32" s="8"/>
      <c r="G32" s="8"/>
      <c r="H32" s="8"/>
      <c r="I32" s="8"/>
      <c r="J32" s="8"/>
      <c r="K32" s="8"/>
    </row>
    <row r="33" spans="1:11" x14ac:dyDescent="0.25">
      <c r="A33" s="8" t="s">
        <v>180</v>
      </c>
      <c r="B33" s="8" t="s">
        <v>190</v>
      </c>
      <c r="C33" s="8">
        <v>0.85189999999999999</v>
      </c>
      <c r="D33" s="8">
        <v>0.88</v>
      </c>
      <c r="E33" s="8"/>
      <c r="F33" s="8"/>
      <c r="G33" s="8"/>
      <c r="H33" s="8"/>
      <c r="I33" s="8"/>
      <c r="J33" s="8"/>
      <c r="K33" s="8"/>
    </row>
    <row r="34" spans="1:11" x14ac:dyDescent="0.25">
      <c r="A34" s="8" t="s">
        <v>180</v>
      </c>
      <c r="B34" s="8" t="s">
        <v>191</v>
      </c>
      <c r="C34" s="8">
        <v>0.85440000000000005</v>
      </c>
      <c r="D34" s="8">
        <v>0.91100000000000003</v>
      </c>
      <c r="E34" s="8"/>
      <c r="F34" s="8"/>
      <c r="G34" s="8"/>
      <c r="H34" s="8"/>
      <c r="I34" s="8"/>
      <c r="J34" s="8"/>
      <c r="K34" s="8"/>
    </row>
    <row r="35" spans="1:11" x14ac:dyDescent="0.25">
      <c r="A35" s="8" t="s">
        <v>180</v>
      </c>
      <c r="B35" s="8" t="s">
        <v>192</v>
      </c>
      <c r="C35" s="8">
        <v>0.90900000000000003</v>
      </c>
      <c r="D35" s="8">
        <v>0.94310000000000005</v>
      </c>
      <c r="E35" s="8"/>
      <c r="F35" s="8"/>
      <c r="G35" s="8"/>
      <c r="H35" s="8"/>
      <c r="I35" s="8"/>
      <c r="J35" s="8"/>
      <c r="K35" s="8"/>
    </row>
    <row r="36" spans="1:11" x14ac:dyDescent="0.25">
      <c r="A36" s="8" t="s">
        <v>180</v>
      </c>
      <c r="B36" s="8" t="s">
        <v>193</v>
      </c>
      <c r="C36" s="8">
        <v>0.84109999999999996</v>
      </c>
      <c r="D36" s="8">
        <v>0.91390000000000005</v>
      </c>
      <c r="E36" s="8"/>
      <c r="F36" s="8"/>
      <c r="G36" s="8"/>
      <c r="H36" s="8"/>
      <c r="I36" s="8"/>
      <c r="J36" s="8"/>
      <c r="K36" s="8"/>
    </row>
    <row r="37" spans="1:11" x14ac:dyDescent="0.25">
      <c r="A37" s="8" t="s">
        <v>180</v>
      </c>
      <c r="B37" s="8" t="s">
        <v>194</v>
      </c>
      <c r="C37" s="8">
        <v>0.84340000000000004</v>
      </c>
      <c r="D37" s="8">
        <v>0.91490000000000005</v>
      </c>
      <c r="E37" s="8"/>
      <c r="F37" s="8"/>
      <c r="G37" s="8"/>
      <c r="H37" s="8"/>
      <c r="I37" s="8"/>
      <c r="J37" s="8"/>
      <c r="K37" s="8"/>
    </row>
    <row r="38" spans="1:11" x14ac:dyDescent="0.25">
      <c r="A38" s="8" t="s">
        <v>180</v>
      </c>
      <c r="B38" s="8" t="s">
        <v>195</v>
      </c>
      <c r="C38" s="8">
        <v>0.88990000000000002</v>
      </c>
      <c r="D38" s="8">
        <v>0.93659999999999999</v>
      </c>
      <c r="E38" s="8"/>
      <c r="F38" s="8"/>
      <c r="G38" s="8"/>
      <c r="H38" s="8"/>
      <c r="I38" s="8"/>
      <c r="J38" s="8"/>
      <c r="K38" s="8"/>
    </row>
    <row r="39" spans="1:11" x14ac:dyDescent="0.25">
      <c r="A39" s="8" t="s">
        <v>180</v>
      </c>
      <c r="B39" s="8" t="s">
        <v>196</v>
      </c>
      <c r="C39" s="8">
        <v>0.79700000000000004</v>
      </c>
      <c r="D39" s="8">
        <v>0.85729999999999995</v>
      </c>
      <c r="E39" s="8"/>
      <c r="F39" s="8"/>
      <c r="G39" s="8"/>
      <c r="H39" s="8"/>
      <c r="I39" s="8"/>
      <c r="J39" s="8"/>
      <c r="K39" s="8"/>
    </row>
    <row r="40" spans="1:11" x14ac:dyDescent="0.25">
      <c r="A40" s="8" t="s">
        <v>180</v>
      </c>
      <c r="B40" s="8" t="s">
        <v>230</v>
      </c>
      <c r="C40" s="8">
        <v>0.79730000000000001</v>
      </c>
      <c r="D40" s="8">
        <v>0.77349999999999997</v>
      </c>
      <c r="E40" s="8"/>
      <c r="F40" s="8"/>
      <c r="G40" s="8"/>
      <c r="H40" s="8"/>
      <c r="I40" s="8"/>
      <c r="J40" s="8"/>
      <c r="K40" s="8"/>
    </row>
    <row r="41" spans="1:11" x14ac:dyDescent="0.25">
      <c r="A41" s="8" t="s">
        <v>180</v>
      </c>
      <c r="B41" s="8" t="s">
        <v>11</v>
      </c>
      <c r="C41" s="8">
        <v>0.83</v>
      </c>
      <c r="D41" s="8">
        <v>0.87839999999999996</v>
      </c>
      <c r="E41" s="8"/>
      <c r="F41" s="8"/>
      <c r="G41" s="8"/>
      <c r="H41" s="8"/>
      <c r="I41" s="8"/>
      <c r="J41" s="8"/>
      <c r="K41" s="8"/>
    </row>
    <row r="42" spans="1:11" x14ac:dyDescent="0.25">
      <c r="A42" s="8" t="s">
        <v>180</v>
      </c>
      <c r="B42" s="8" t="s">
        <v>197</v>
      </c>
      <c r="C42" s="8">
        <v>0.71130000000000004</v>
      </c>
      <c r="D42" s="8">
        <v>0.75519999999999998</v>
      </c>
      <c r="E42" s="8"/>
      <c r="F42" s="8"/>
      <c r="G42" s="8"/>
      <c r="H42" s="8"/>
      <c r="I42" s="8"/>
      <c r="J42" s="8"/>
      <c r="K42" s="8"/>
    </row>
    <row r="43" spans="1:11" x14ac:dyDescent="0.25">
      <c r="A43" s="8" t="s">
        <v>180</v>
      </c>
      <c r="B43" s="8" t="s">
        <v>198</v>
      </c>
      <c r="C43" s="8">
        <v>0.67200000000000004</v>
      </c>
      <c r="D43" s="8">
        <v>0.76480000000000004</v>
      </c>
      <c r="E43" s="8"/>
      <c r="F43" s="8"/>
      <c r="G43" s="8"/>
      <c r="H43" s="8"/>
      <c r="I43" s="8"/>
      <c r="J43" s="8"/>
      <c r="K43" s="8"/>
    </row>
    <row r="44" spans="1:11" x14ac:dyDescent="0.25">
      <c r="A44" s="8" t="s">
        <v>180</v>
      </c>
      <c r="B44" s="8" t="s">
        <v>226</v>
      </c>
      <c r="C44" s="8">
        <v>0.83950000000000002</v>
      </c>
      <c r="D44" s="8">
        <v>0.9</v>
      </c>
      <c r="E44" s="8"/>
      <c r="F44" s="8"/>
      <c r="G44" s="8"/>
      <c r="H44" s="8"/>
      <c r="I44" s="8"/>
      <c r="J44" s="8"/>
      <c r="K44" s="8"/>
    </row>
    <row r="45" spans="1:11" x14ac:dyDescent="0.25">
      <c r="A45" s="8" t="s">
        <v>212</v>
      </c>
      <c r="B45" s="8" t="s">
        <v>179</v>
      </c>
      <c r="C45" s="8">
        <v>0.58360000000000001</v>
      </c>
      <c r="D45" s="8">
        <v>0.6169</v>
      </c>
      <c r="E45" s="8"/>
      <c r="F45" s="8"/>
      <c r="G45" s="8"/>
      <c r="H45" s="8"/>
      <c r="I45" s="8"/>
      <c r="J45" s="8"/>
      <c r="K45" s="8"/>
    </row>
    <row r="46" spans="1:11" x14ac:dyDescent="0.25">
      <c r="A46" s="8" t="s">
        <v>212</v>
      </c>
      <c r="B46" s="8" t="s">
        <v>183</v>
      </c>
      <c r="C46" s="8">
        <v>0.6573</v>
      </c>
      <c r="D46" s="8">
        <v>0.72609999999999997</v>
      </c>
      <c r="E46" s="8"/>
      <c r="F46" s="8"/>
      <c r="G46" s="8"/>
      <c r="H46" s="8"/>
      <c r="I46" s="8"/>
      <c r="J46" s="8"/>
      <c r="K46" s="8"/>
    </row>
    <row r="47" spans="1:11" x14ac:dyDescent="0.25">
      <c r="A47" s="8" t="s">
        <v>212</v>
      </c>
      <c r="B47" s="8" t="s">
        <v>125</v>
      </c>
      <c r="C47" s="8">
        <v>0.45100000000000001</v>
      </c>
      <c r="D47" s="8">
        <v>0.44359999999999999</v>
      </c>
      <c r="E47" s="8"/>
      <c r="F47" s="8"/>
      <c r="G47" s="8"/>
      <c r="H47" s="8"/>
      <c r="I47" s="8"/>
      <c r="J47" s="8"/>
      <c r="K47" s="8"/>
    </row>
    <row r="48" spans="1:11" x14ac:dyDescent="0.25">
      <c r="A48" s="8" t="s">
        <v>212</v>
      </c>
      <c r="B48" s="8" t="s">
        <v>184</v>
      </c>
      <c r="C48" s="8">
        <v>0.64129999999999998</v>
      </c>
      <c r="D48" s="8">
        <v>0.62180000000000002</v>
      </c>
      <c r="E48" s="8"/>
      <c r="F48" s="8"/>
      <c r="G48" s="8"/>
      <c r="H48" s="8"/>
      <c r="I48" s="8"/>
      <c r="J48" s="8"/>
      <c r="K48" s="8"/>
    </row>
    <row r="49" spans="1:11" x14ac:dyDescent="0.25">
      <c r="A49" s="8" t="s">
        <v>212</v>
      </c>
      <c r="B49" s="8" t="s">
        <v>185</v>
      </c>
      <c r="C49" s="8">
        <v>0.5494</v>
      </c>
      <c r="D49" s="8">
        <v>0.59499999999999997</v>
      </c>
      <c r="E49" s="8"/>
      <c r="F49" s="8"/>
      <c r="G49" s="8"/>
      <c r="H49" s="8"/>
      <c r="I49" s="8"/>
      <c r="J49" s="8"/>
      <c r="K49" s="8"/>
    </row>
    <row r="50" spans="1:11" x14ac:dyDescent="0.25">
      <c r="A50" s="8" t="s">
        <v>212</v>
      </c>
      <c r="B50" s="8" t="s">
        <v>186</v>
      </c>
      <c r="C50" s="8">
        <v>0.70179999999999998</v>
      </c>
      <c r="D50" s="8">
        <v>0.74660000000000004</v>
      </c>
      <c r="E50" s="8"/>
      <c r="F50" s="8"/>
      <c r="G50" s="8"/>
      <c r="H50" s="8"/>
      <c r="I50" s="8"/>
      <c r="J50" s="8"/>
      <c r="K50" s="8"/>
    </row>
    <row r="51" spans="1:11" x14ac:dyDescent="0.25">
      <c r="A51" s="8" t="s">
        <v>212</v>
      </c>
      <c r="B51" s="8" t="s">
        <v>187</v>
      </c>
      <c r="C51" s="8">
        <v>0.62280000000000002</v>
      </c>
      <c r="D51" s="8">
        <v>0.70750000000000002</v>
      </c>
      <c r="E51" s="8"/>
      <c r="F51" s="8"/>
      <c r="G51" s="8"/>
      <c r="H51" s="8"/>
      <c r="I51" s="8"/>
      <c r="J51" s="8"/>
      <c r="K51" s="8"/>
    </row>
    <row r="52" spans="1:11" x14ac:dyDescent="0.25">
      <c r="A52" s="8" t="s">
        <v>212</v>
      </c>
      <c r="B52" s="8" t="s">
        <v>188</v>
      </c>
      <c r="C52" s="8">
        <v>0.72030000000000005</v>
      </c>
      <c r="D52" s="8">
        <v>0.77800000000000002</v>
      </c>
      <c r="E52" s="8"/>
      <c r="F52" s="8"/>
      <c r="G52" s="8"/>
      <c r="H52" s="8"/>
      <c r="I52" s="8"/>
      <c r="J52" s="8"/>
      <c r="K52" s="8"/>
    </row>
    <row r="53" spans="1:11" x14ac:dyDescent="0.25">
      <c r="A53" s="8" t="s">
        <v>212</v>
      </c>
      <c r="B53" s="8" t="s">
        <v>189</v>
      </c>
      <c r="C53" s="8">
        <v>0.60360000000000003</v>
      </c>
      <c r="D53" s="8">
        <v>0.61990000000000001</v>
      </c>
      <c r="E53" s="8"/>
      <c r="F53" s="8"/>
      <c r="G53" s="8"/>
      <c r="H53" s="8"/>
      <c r="I53" s="8"/>
      <c r="J53" s="8"/>
      <c r="K53" s="8"/>
    </row>
    <row r="54" spans="1:11" x14ac:dyDescent="0.25">
      <c r="A54" s="8" t="s">
        <v>212</v>
      </c>
      <c r="B54" s="8" t="s">
        <v>190</v>
      </c>
      <c r="C54" s="8">
        <v>0.64500000000000002</v>
      </c>
      <c r="D54" s="8">
        <v>0.60540000000000005</v>
      </c>
      <c r="E54" s="8"/>
      <c r="F54" s="8"/>
      <c r="G54" s="8"/>
      <c r="H54" s="8"/>
      <c r="I54" s="8"/>
      <c r="J54" s="8"/>
      <c r="K54" s="8"/>
    </row>
    <row r="55" spans="1:11" x14ac:dyDescent="0.25">
      <c r="A55" s="8" t="s">
        <v>212</v>
      </c>
      <c r="B55" s="8" t="s">
        <v>191</v>
      </c>
      <c r="C55" s="8">
        <v>0.56499999999999995</v>
      </c>
      <c r="D55" s="8">
        <v>0.57569999999999999</v>
      </c>
      <c r="E55" s="8"/>
      <c r="F55" s="8"/>
      <c r="G55" s="8"/>
      <c r="H55" s="8"/>
      <c r="I55" s="8"/>
      <c r="J55" s="8"/>
      <c r="K55" s="8"/>
    </row>
    <row r="56" spans="1:11" x14ac:dyDescent="0.25">
      <c r="A56" s="8" t="s">
        <v>212</v>
      </c>
      <c r="B56" s="8" t="s">
        <v>192</v>
      </c>
      <c r="C56" s="8">
        <v>0.72699999999999998</v>
      </c>
      <c r="D56" s="8">
        <v>0.77969999999999995</v>
      </c>
      <c r="E56" s="8"/>
      <c r="F56" s="8"/>
      <c r="G56" s="8"/>
      <c r="H56" s="8"/>
      <c r="I56" s="8"/>
      <c r="J56" s="8"/>
      <c r="K56" s="8"/>
    </row>
    <row r="57" spans="1:11" x14ac:dyDescent="0.25">
      <c r="A57" s="8" t="s">
        <v>212</v>
      </c>
      <c r="B57" s="8" t="s">
        <v>193</v>
      </c>
      <c r="C57" s="8">
        <v>0.5423</v>
      </c>
      <c r="D57" s="8">
        <v>0.52739999999999998</v>
      </c>
      <c r="E57" s="8"/>
      <c r="F57" s="8"/>
      <c r="G57" s="8"/>
      <c r="H57" s="8"/>
      <c r="I57" s="8"/>
      <c r="J57" s="8"/>
      <c r="K57" s="8"/>
    </row>
    <row r="58" spans="1:11" x14ac:dyDescent="0.25">
      <c r="A58" s="8" t="s">
        <v>212</v>
      </c>
      <c r="B58" s="8" t="s">
        <v>194</v>
      </c>
      <c r="C58" s="8">
        <v>0.68340000000000001</v>
      </c>
      <c r="D58" s="8">
        <v>0.74660000000000004</v>
      </c>
      <c r="E58" s="8"/>
      <c r="F58" s="8"/>
      <c r="G58" s="8"/>
      <c r="H58" s="8"/>
      <c r="I58" s="8"/>
      <c r="J58" s="8"/>
      <c r="K58" s="8"/>
    </row>
    <row r="59" spans="1:11" x14ac:dyDescent="0.25">
      <c r="A59" s="8" t="s">
        <v>212</v>
      </c>
      <c r="B59" s="8" t="s">
        <v>195</v>
      </c>
      <c r="C59" s="8">
        <v>0.71050000000000002</v>
      </c>
      <c r="D59" s="8">
        <v>0.76829999999999998</v>
      </c>
      <c r="E59" s="8"/>
      <c r="F59" s="8"/>
      <c r="G59" s="8"/>
      <c r="H59" s="8"/>
      <c r="I59" s="8"/>
      <c r="J59" s="8"/>
      <c r="K59" s="8"/>
    </row>
    <row r="60" spans="1:11" x14ac:dyDescent="0.25">
      <c r="A60" s="8" t="s">
        <v>212</v>
      </c>
      <c r="B60" s="8" t="s">
        <v>196</v>
      </c>
      <c r="C60" s="8">
        <v>0.52210000000000001</v>
      </c>
      <c r="D60" s="8">
        <v>0.54310000000000003</v>
      </c>
      <c r="E60" s="8"/>
      <c r="F60" s="8"/>
      <c r="G60" s="8"/>
      <c r="H60" s="8"/>
      <c r="I60" s="8"/>
      <c r="J60" s="8"/>
      <c r="K60" s="8"/>
    </row>
    <row r="61" spans="1:11" x14ac:dyDescent="0.25">
      <c r="A61" s="8" t="s">
        <v>212</v>
      </c>
      <c r="B61" s="8" t="s">
        <v>11</v>
      </c>
      <c r="C61" s="8">
        <v>0.56299999999999994</v>
      </c>
      <c r="D61" s="8">
        <v>0.55649999999999999</v>
      </c>
      <c r="E61" s="8"/>
      <c r="F61" s="8"/>
      <c r="G61" s="8"/>
      <c r="H61" s="8"/>
      <c r="I61" s="8"/>
      <c r="J61" s="8"/>
      <c r="K61" s="8"/>
    </row>
    <row r="62" spans="1:11" x14ac:dyDescent="0.25">
      <c r="A62" s="8" t="s">
        <v>212</v>
      </c>
      <c r="B62" s="8" t="s">
        <v>197</v>
      </c>
      <c r="C62" s="8">
        <v>0.30709999999999998</v>
      </c>
      <c r="D62" s="8">
        <v>0.27760000000000001</v>
      </c>
      <c r="E62" s="8"/>
      <c r="F62" s="8"/>
      <c r="G62" s="8"/>
      <c r="H62" s="8"/>
      <c r="I62" s="8"/>
      <c r="J62" s="8"/>
      <c r="K62" s="8"/>
    </row>
    <row r="63" spans="1:11" x14ac:dyDescent="0.25">
      <c r="A63" s="8" t="s">
        <v>212</v>
      </c>
      <c r="B63" s="8" t="s">
        <v>198</v>
      </c>
      <c r="C63" s="8">
        <v>1.4200000000000001E-2</v>
      </c>
      <c r="D63" s="8">
        <v>7.4999999999999997E-3</v>
      </c>
      <c r="E63" s="8"/>
      <c r="F63" s="8"/>
      <c r="G63" s="8"/>
      <c r="H63" s="8"/>
      <c r="I63" s="8"/>
      <c r="J63" s="8"/>
      <c r="K63" s="8"/>
    </row>
    <row r="64" spans="1:11" x14ac:dyDescent="0.25">
      <c r="A64" s="8" t="s">
        <v>212</v>
      </c>
      <c r="B64" s="8" t="s">
        <v>226</v>
      </c>
      <c r="C64" s="8">
        <v>0.62739999999999996</v>
      </c>
      <c r="D64" s="8">
        <v>0.65620000000000001</v>
      </c>
      <c r="E64" s="8"/>
      <c r="F64" s="8"/>
      <c r="G64" s="8"/>
      <c r="H64" s="8"/>
      <c r="I64" s="8"/>
      <c r="J64" s="8"/>
      <c r="K64" s="8"/>
    </row>
    <row r="65" spans="1:11" x14ac:dyDescent="0.25">
      <c r="A65" s="8" t="s">
        <v>182</v>
      </c>
      <c r="B65" s="8" t="s">
        <v>179</v>
      </c>
      <c r="C65" s="8">
        <v>0.58879999999999999</v>
      </c>
      <c r="D65" s="8">
        <v>0.63700000000000001</v>
      </c>
      <c r="E65" s="8"/>
      <c r="F65" s="8"/>
      <c r="G65" s="8"/>
      <c r="H65" s="8"/>
      <c r="I65" s="8"/>
      <c r="J65" s="8"/>
      <c r="K65" s="8"/>
    </row>
    <row r="66" spans="1:11" x14ac:dyDescent="0.25">
      <c r="A66" s="8" t="s">
        <v>182</v>
      </c>
      <c r="B66" s="8" t="s">
        <v>183</v>
      </c>
      <c r="C66" s="8">
        <v>0.62139999999999995</v>
      </c>
      <c r="D66" s="8">
        <v>0.73950000000000005</v>
      </c>
      <c r="E66" s="8"/>
      <c r="F66" s="8"/>
      <c r="G66" s="8"/>
      <c r="H66" s="8"/>
      <c r="I66" s="8"/>
      <c r="J66" s="8"/>
      <c r="K66" s="8"/>
    </row>
    <row r="67" spans="1:11" x14ac:dyDescent="0.25">
      <c r="A67" s="8" t="s">
        <v>182</v>
      </c>
      <c r="B67" s="8" t="s">
        <v>125</v>
      </c>
      <c r="C67" s="8">
        <v>0.53469999999999995</v>
      </c>
      <c r="D67" s="8">
        <v>0.63949999999999996</v>
      </c>
      <c r="E67" s="8"/>
      <c r="F67" s="8"/>
      <c r="G67" s="8"/>
      <c r="H67" s="8"/>
      <c r="I67" s="8"/>
      <c r="J67" s="8"/>
      <c r="K67" s="8"/>
    </row>
    <row r="68" spans="1:11" x14ac:dyDescent="0.25">
      <c r="A68" s="8" t="s">
        <v>182</v>
      </c>
      <c r="B68" s="8" t="s">
        <v>184</v>
      </c>
      <c r="C68" s="8">
        <v>0.58930000000000005</v>
      </c>
      <c r="D68" s="8">
        <v>0.65359999999999996</v>
      </c>
      <c r="E68" s="8"/>
      <c r="F68" s="8"/>
      <c r="G68" s="8"/>
      <c r="H68" s="8"/>
      <c r="I68" s="8"/>
      <c r="J68" s="8"/>
      <c r="K68" s="8"/>
    </row>
    <row r="69" spans="1:11" x14ac:dyDescent="0.25">
      <c r="A69" s="8" t="s">
        <v>182</v>
      </c>
      <c r="B69" s="8" t="s">
        <v>185</v>
      </c>
      <c r="C69" s="8">
        <v>0.60070000000000001</v>
      </c>
      <c r="D69" s="8">
        <v>0.68869999999999998</v>
      </c>
      <c r="E69" s="8"/>
      <c r="F69" s="8"/>
      <c r="G69" s="8"/>
      <c r="H69" s="8"/>
      <c r="I69" s="8"/>
      <c r="J69" s="8"/>
      <c r="K69" s="8"/>
    </row>
    <row r="70" spans="1:11" x14ac:dyDescent="0.25">
      <c r="A70" s="8" t="s">
        <v>182</v>
      </c>
      <c r="B70" s="8" t="s">
        <v>186</v>
      </c>
      <c r="C70" s="8">
        <v>0.57140000000000002</v>
      </c>
      <c r="D70" s="8">
        <v>0.60229999999999995</v>
      </c>
      <c r="E70" s="8"/>
      <c r="F70" s="8"/>
      <c r="G70" s="8"/>
      <c r="H70" s="8"/>
      <c r="I70" s="8"/>
      <c r="J70" s="8"/>
      <c r="K70" s="8"/>
    </row>
    <row r="71" spans="1:11" x14ac:dyDescent="0.25">
      <c r="A71" s="8" t="s">
        <v>182</v>
      </c>
      <c r="B71" s="8" t="s">
        <v>187</v>
      </c>
      <c r="C71" s="8">
        <v>0.59330000000000005</v>
      </c>
      <c r="D71" s="8">
        <v>0.7087</v>
      </c>
      <c r="E71" s="8"/>
      <c r="F71" s="8"/>
      <c r="G71" s="8"/>
      <c r="H71" s="8"/>
      <c r="I71" s="8"/>
      <c r="J71" s="8"/>
      <c r="K71" s="8"/>
    </row>
    <row r="72" spans="1:11" x14ac:dyDescent="0.25">
      <c r="A72" s="8" t="s">
        <v>182</v>
      </c>
      <c r="B72" s="8" t="s">
        <v>188</v>
      </c>
      <c r="C72" s="8">
        <v>0.57509999999999994</v>
      </c>
      <c r="D72" s="8">
        <v>0.68540000000000001</v>
      </c>
      <c r="E72" s="8"/>
      <c r="F72" s="8"/>
      <c r="G72" s="8"/>
      <c r="H72" s="8"/>
      <c r="I72" s="8"/>
      <c r="J72" s="8"/>
      <c r="K72" s="8"/>
    </row>
    <row r="73" spans="1:11" x14ac:dyDescent="0.25">
      <c r="A73" s="8" t="s">
        <v>182</v>
      </c>
      <c r="B73" s="8" t="s">
        <v>189</v>
      </c>
      <c r="C73" s="8">
        <v>0.57340000000000002</v>
      </c>
      <c r="D73" s="8">
        <v>0.6401</v>
      </c>
      <c r="E73" s="8"/>
      <c r="F73" s="8"/>
      <c r="G73" s="8"/>
      <c r="H73" s="8"/>
      <c r="I73" s="8"/>
      <c r="J73" s="8"/>
      <c r="K73" s="8"/>
    </row>
    <row r="74" spans="1:11" x14ac:dyDescent="0.25">
      <c r="A74" s="8" t="s">
        <v>182</v>
      </c>
      <c r="B74" s="8" t="s">
        <v>190</v>
      </c>
      <c r="C74" s="8">
        <v>0.62619999999999998</v>
      </c>
      <c r="D74" s="8">
        <v>0.6552</v>
      </c>
      <c r="E74" s="8"/>
      <c r="F74" s="8"/>
      <c r="G74" s="8"/>
      <c r="H74" s="8"/>
      <c r="I74" s="8"/>
      <c r="J74" s="8"/>
      <c r="K74" s="8"/>
    </row>
    <row r="75" spans="1:11" x14ac:dyDescent="0.25">
      <c r="A75" s="8" t="s">
        <v>182</v>
      </c>
      <c r="B75" s="8" t="s">
        <v>191</v>
      </c>
      <c r="C75" s="8">
        <v>0.58599999999999997</v>
      </c>
      <c r="D75" s="8">
        <v>0.67490000000000006</v>
      </c>
      <c r="E75" s="8"/>
      <c r="F75" s="8"/>
      <c r="G75" s="8"/>
      <c r="H75" s="8"/>
      <c r="I75" s="8"/>
      <c r="J75" s="8"/>
      <c r="K75" s="8"/>
    </row>
    <row r="76" spans="1:11" x14ac:dyDescent="0.25">
      <c r="A76" s="8" t="s">
        <v>182</v>
      </c>
      <c r="B76" s="8" t="s">
        <v>192</v>
      </c>
      <c r="C76" s="8">
        <v>0.64690000000000003</v>
      </c>
      <c r="D76" s="8">
        <v>0.67330000000000001</v>
      </c>
      <c r="E76" s="8"/>
      <c r="F76" s="8"/>
      <c r="G76" s="8"/>
      <c r="H76" s="8"/>
      <c r="I76" s="8"/>
      <c r="J76" s="8"/>
      <c r="K76" s="8"/>
    </row>
    <row r="77" spans="1:11" x14ac:dyDescent="0.25">
      <c r="A77" s="8" t="s">
        <v>182</v>
      </c>
      <c r="B77" s="8" t="s">
        <v>193</v>
      </c>
      <c r="C77" s="8">
        <v>0.57850000000000001</v>
      </c>
      <c r="D77" s="8">
        <v>0.65910000000000002</v>
      </c>
      <c r="E77" s="8"/>
      <c r="F77" s="8"/>
      <c r="G77" s="8"/>
      <c r="H77" s="8"/>
      <c r="I77" s="8"/>
      <c r="J77" s="8"/>
      <c r="K77" s="8"/>
    </row>
    <row r="78" spans="1:11" x14ac:dyDescent="0.25">
      <c r="A78" s="8" t="s">
        <v>182</v>
      </c>
      <c r="B78" s="8" t="s">
        <v>194</v>
      </c>
      <c r="C78" s="8">
        <v>0.62350000000000005</v>
      </c>
      <c r="D78" s="8">
        <v>0.7228</v>
      </c>
      <c r="E78" s="8"/>
      <c r="F78" s="8"/>
      <c r="G78" s="8"/>
      <c r="H78" s="8"/>
      <c r="I78" s="8"/>
      <c r="J78" s="8"/>
      <c r="K78" s="8"/>
    </row>
    <row r="79" spans="1:11" x14ac:dyDescent="0.25">
      <c r="A79" s="8" t="s">
        <v>182</v>
      </c>
      <c r="B79" s="8" t="s">
        <v>195</v>
      </c>
      <c r="C79" s="8">
        <v>0.59189999999999998</v>
      </c>
      <c r="D79" s="8">
        <v>0.70709999999999995</v>
      </c>
      <c r="E79" s="8"/>
      <c r="F79" s="8"/>
      <c r="G79" s="8"/>
      <c r="H79" s="8"/>
      <c r="I79" s="8"/>
      <c r="J79" s="8"/>
      <c r="K79" s="8"/>
    </row>
    <row r="80" spans="1:11" x14ac:dyDescent="0.25">
      <c r="A80" s="8" t="s">
        <v>182</v>
      </c>
      <c r="B80" s="8" t="s">
        <v>196</v>
      </c>
      <c r="C80" s="8">
        <v>0.55310000000000004</v>
      </c>
      <c r="D80" s="8">
        <v>0.67190000000000005</v>
      </c>
      <c r="E80" s="8"/>
      <c r="F80" s="8"/>
      <c r="G80" s="8"/>
      <c r="H80" s="8"/>
      <c r="I80" s="8"/>
      <c r="J80" s="8"/>
      <c r="K80" s="8"/>
    </row>
    <row r="81" spans="1:11" x14ac:dyDescent="0.25">
      <c r="A81" s="8" t="s">
        <v>182</v>
      </c>
      <c r="B81" s="8" t="s">
        <v>230</v>
      </c>
      <c r="C81" s="8">
        <v>0.58899999999999997</v>
      </c>
      <c r="D81" s="8">
        <v>0.52890000000000004</v>
      </c>
      <c r="E81" s="8"/>
      <c r="F81" s="8"/>
      <c r="G81" s="8"/>
      <c r="H81" s="8"/>
      <c r="I81" s="8"/>
      <c r="J81" s="8"/>
      <c r="K81" s="8"/>
    </row>
    <row r="82" spans="1:11" x14ac:dyDescent="0.25">
      <c r="A82" s="8" t="s">
        <v>182</v>
      </c>
      <c r="B82" s="8" t="s">
        <v>11</v>
      </c>
      <c r="C82" s="8">
        <v>0.58650000000000002</v>
      </c>
      <c r="D82" s="8">
        <v>0.61319999999999997</v>
      </c>
      <c r="E82" s="8"/>
      <c r="F82" s="8"/>
      <c r="G82" s="8"/>
      <c r="H82" s="8"/>
      <c r="I82" s="8"/>
      <c r="J82" s="8"/>
      <c r="K82" s="8"/>
    </row>
    <row r="83" spans="1:11" x14ac:dyDescent="0.25">
      <c r="A83" s="8" t="s">
        <v>182</v>
      </c>
      <c r="B83" s="8" t="s">
        <v>197</v>
      </c>
      <c r="C83" s="8">
        <v>0.52259999999999995</v>
      </c>
      <c r="D83" s="8">
        <v>0.63649999999999995</v>
      </c>
      <c r="E83" s="8"/>
      <c r="F83" s="8"/>
      <c r="G83" s="8"/>
      <c r="H83" s="8"/>
      <c r="I83" s="8"/>
      <c r="J83" s="8"/>
      <c r="K83" s="8"/>
    </row>
    <row r="84" spans="1:11" x14ac:dyDescent="0.25">
      <c r="A84" s="8" t="s">
        <v>182</v>
      </c>
      <c r="B84" s="8" t="s">
        <v>198</v>
      </c>
      <c r="C84" s="8">
        <v>0.48670000000000002</v>
      </c>
      <c r="D84" s="8">
        <v>0.57630000000000003</v>
      </c>
      <c r="E84" s="8"/>
      <c r="F84" s="8"/>
      <c r="G84" s="8"/>
      <c r="H84" s="8"/>
      <c r="I84" s="8"/>
      <c r="J84" s="8"/>
      <c r="K84" s="8"/>
    </row>
    <row r="85" spans="1:11" x14ac:dyDescent="0.25">
      <c r="A85" s="8" t="s">
        <v>182</v>
      </c>
      <c r="B85" s="8" t="s">
        <v>226</v>
      </c>
      <c r="C85" s="8">
        <v>0.58420000000000005</v>
      </c>
      <c r="D85" s="8">
        <v>0.64829999999999999</v>
      </c>
      <c r="E85" s="8"/>
      <c r="F85" s="8"/>
      <c r="G85" s="8"/>
      <c r="H85" s="8"/>
      <c r="I85" s="8"/>
      <c r="J85" s="8"/>
      <c r="K85" s="8"/>
    </row>
    <row r="86" spans="1:11" x14ac:dyDescent="0.25">
      <c r="A86" s="8" t="s">
        <v>181</v>
      </c>
      <c r="B86" s="8" t="s">
        <v>179</v>
      </c>
      <c r="C86" s="8">
        <v>0.52</v>
      </c>
      <c r="D86" s="8">
        <v>0.75029999999999997</v>
      </c>
      <c r="E86" s="8"/>
      <c r="F86" s="8"/>
      <c r="G86" s="8"/>
      <c r="H86" s="8"/>
      <c r="I86" s="8"/>
      <c r="J86" s="8"/>
      <c r="K86" s="8"/>
    </row>
    <row r="87" spans="1:11" x14ac:dyDescent="0.25">
      <c r="A87" s="8" t="s">
        <v>181</v>
      </c>
      <c r="B87" s="8" t="s">
        <v>183</v>
      </c>
      <c r="C87" s="8">
        <v>0.59950000000000003</v>
      </c>
      <c r="D87" s="8">
        <v>0.63380000000000003</v>
      </c>
      <c r="E87" s="8"/>
      <c r="F87" s="8"/>
      <c r="G87" s="8"/>
      <c r="H87" s="8"/>
      <c r="I87" s="8"/>
      <c r="J87" s="8"/>
      <c r="K87" s="8"/>
    </row>
    <row r="88" spans="1:11" x14ac:dyDescent="0.25">
      <c r="A88" s="8" t="s">
        <v>181</v>
      </c>
      <c r="B88" s="8" t="s">
        <v>125</v>
      </c>
      <c r="C88" s="8">
        <v>0.50170000000000003</v>
      </c>
      <c r="D88" s="8">
        <v>0.50460000000000005</v>
      </c>
      <c r="E88" s="8"/>
      <c r="F88" s="8"/>
      <c r="G88" s="8"/>
      <c r="H88" s="8"/>
      <c r="I88" s="8"/>
      <c r="J88" s="8"/>
      <c r="K88" s="8"/>
    </row>
    <row r="89" spans="1:11" x14ac:dyDescent="0.25">
      <c r="A89" s="8" t="s">
        <v>181</v>
      </c>
      <c r="B89" s="8" t="s">
        <v>184</v>
      </c>
      <c r="C89" s="8">
        <v>0.55420000000000003</v>
      </c>
      <c r="D89" s="8">
        <v>0.4854</v>
      </c>
      <c r="E89" s="8"/>
      <c r="F89" s="8"/>
      <c r="G89" s="8"/>
      <c r="H89" s="8"/>
      <c r="I89" s="8"/>
      <c r="J89" s="8"/>
      <c r="K89" s="8"/>
    </row>
    <row r="90" spans="1:11" x14ac:dyDescent="0.25">
      <c r="A90" s="8" t="s">
        <v>181</v>
      </c>
      <c r="B90" s="8" t="s">
        <v>185</v>
      </c>
      <c r="C90" s="8">
        <v>0.57099999999999995</v>
      </c>
      <c r="D90" s="8">
        <v>0.68469999999999998</v>
      </c>
      <c r="E90" s="8"/>
      <c r="F90" s="8"/>
      <c r="G90" s="8"/>
      <c r="H90" s="8"/>
      <c r="I90" s="8"/>
      <c r="J90" s="8"/>
      <c r="K90" s="8"/>
    </row>
    <row r="91" spans="1:11" x14ac:dyDescent="0.25">
      <c r="A91" s="8" t="s">
        <v>181</v>
      </c>
      <c r="B91" s="8" t="s">
        <v>186</v>
      </c>
      <c r="C91" s="8">
        <v>0.38229999999999997</v>
      </c>
      <c r="D91" s="8">
        <v>0.33679999999999999</v>
      </c>
      <c r="E91" s="8"/>
      <c r="F91" s="8"/>
      <c r="G91" s="8"/>
      <c r="H91" s="8"/>
      <c r="I91" s="8"/>
      <c r="J91" s="8"/>
      <c r="K91" s="8"/>
    </row>
    <row r="92" spans="1:11" x14ac:dyDescent="0.25">
      <c r="A92" s="8" t="s">
        <v>181</v>
      </c>
      <c r="B92" s="8" t="s">
        <v>187</v>
      </c>
      <c r="C92" s="8">
        <v>-2.9100000000000001E-2</v>
      </c>
      <c r="D92" s="8">
        <v>-3.5799999999999998E-2</v>
      </c>
      <c r="E92" s="8"/>
      <c r="F92" s="8"/>
      <c r="G92" s="8"/>
      <c r="H92" s="8"/>
      <c r="I92" s="8"/>
      <c r="J92" s="8"/>
      <c r="K92" s="8"/>
    </row>
    <row r="93" spans="1:11" x14ac:dyDescent="0.25">
      <c r="A93" s="8" t="s">
        <v>181</v>
      </c>
      <c r="B93" s="8" t="s">
        <v>188</v>
      </c>
      <c r="C93" s="8">
        <v>0.52270000000000005</v>
      </c>
      <c r="D93" s="8">
        <v>0.75349999999999995</v>
      </c>
      <c r="E93" s="8"/>
      <c r="F93" s="8"/>
      <c r="G93" s="8"/>
      <c r="H93" s="8"/>
      <c r="I93" s="8"/>
      <c r="J93" s="8"/>
      <c r="K93" s="8"/>
    </row>
    <row r="94" spans="1:11" x14ac:dyDescent="0.25">
      <c r="A94" s="8" t="s">
        <v>181</v>
      </c>
      <c r="B94" s="8" t="s">
        <v>189</v>
      </c>
      <c r="C94" s="8">
        <v>0.4375</v>
      </c>
      <c r="D94" s="8">
        <v>0.71050000000000002</v>
      </c>
      <c r="E94" s="8"/>
      <c r="F94" s="8"/>
      <c r="G94" s="8"/>
      <c r="H94" s="8"/>
      <c r="I94" s="8"/>
      <c r="J94" s="8"/>
      <c r="K94" s="8"/>
    </row>
    <row r="95" spans="1:11" x14ac:dyDescent="0.25">
      <c r="A95" s="8" t="s">
        <v>181</v>
      </c>
      <c r="B95" s="8" t="s">
        <v>190</v>
      </c>
      <c r="C95" s="8">
        <v>0.4677</v>
      </c>
      <c r="D95" s="8">
        <v>0.53480000000000005</v>
      </c>
      <c r="E95" s="8"/>
      <c r="F95" s="8"/>
      <c r="G95" s="8"/>
      <c r="H95" s="8"/>
      <c r="I95" s="8"/>
      <c r="J95" s="8"/>
      <c r="K95" s="8"/>
    </row>
    <row r="96" spans="1:11" x14ac:dyDescent="0.25">
      <c r="A96" s="8" t="s">
        <v>181</v>
      </c>
      <c r="B96" s="8" t="s">
        <v>191</v>
      </c>
      <c r="C96" s="8">
        <v>0.54569999999999996</v>
      </c>
      <c r="D96" s="8">
        <v>0.53449999999999998</v>
      </c>
      <c r="E96" s="8"/>
      <c r="F96" s="8"/>
      <c r="G96" s="8"/>
      <c r="H96" s="8"/>
      <c r="I96" s="8"/>
      <c r="J96" s="8"/>
      <c r="K96" s="8"/>
    </row>
    <row r="97" spans="1:11" x14ac:dyDescent="0.25">
      <c r="A97" s="8" t="s">
        <v>181</v>
      </c>
      <c r="B97" s="8" t="s">
        <v>192</v>
      </c>
      <c r="C97" s="8">
        <v>0.57599999999999996</v>
      </c>
      <c r="D97" s="8">
        <v>0.48280000000000001</v>
      </c>
      <c r="E97" s="8"/>
      <c r="F97" s="8"/>
      <c r="G97" s="8"/>
      <c r="H97" s="8"/>
      <c r="I97" s="8"/>
      <c r="J97" s="8"/>
      <c r="K97" s="8"/>
    </row>
    <row r="98" spans="1:11" x14ac:dyDescent="0.25">
      <c r="A98" s="8" t="s">
        <v>181</v>
      </c>
      <c r="B98" s="8" t="s">
        <v>193</v>
      </c>
      <c r="C98" s="8">
        <v>0.32469999999999999</v>
      </c>
      <c r="D98" s="8">
        <v>0.39179999999999998</v>
      </c>
      <c r="E98" s="8"/>
      <c r="F98" s="8"/>
      <c r="G98" s="8"/>
      <c r="H98" s="8"/>
      <c r="I98" s="8"/>
      <c r="J98" s="8"/>
      <c r="K98" s="8"/>
    </row>
    <row r="99" spans="1:11" x14ac:dyDescent="0.25">
      <c r="A99" s="8" t="s">
        <v>181</v>
      </c>
      <c r="B99" s="8" t="s">
        <v>194</v>
      </c>
      <c r="C99" s="8">
        <v>0.51570000000000005</v>
      </c>
      <c r="D99" s="8">
        <v>0.68069999999999997</v>
      </c>
      <c r="E99" s="8"/>
      <c r="F99" s="8"/>
      <c r="G99" s="8"/>
      <c r="H99" s="8"/>
      <c r="I99" s="8"/>
      <c r="J99" s="8"/>
      <c r="K99" s="8"/>
    </row>
    <row r="100" spans="1:11" x14ac:dyDescent="0.25">
      <c r="A100" s="8" t="s">
        <v>181</v>
      </c>
      <c r="B100" s="8" t="s">
        <v>195</v>
      </c>
      <c r="C100" s="8">
        <v>0.52500000000000002</v>
      </c>
      <c r="D100" s="8">
        <v>0.67979999999999996</v>
      </c>
      <c r="E100" s="8"/>
      <c r="F100" s="8"/>
      <c r="G100" s="8"/>
      <c r="H100" s="8"/>
      <c r="I100" s="8"/>
      <c r="J100" s="8"/>
      <c r="K100" s="8"/>
    </row>
    <row r="101" spans="1:11" x14ac:dyDescent="0.25">
      <c r="A101" s="8" t="s">
        <v>181</v>
      </c>
      <c r="B101" s="8" t="s">
        <v>196</v>
      </c>
      <c r="C101" s="8">
        <v>0.49009999999999998</v>
      </c>
      <c r="D101" s="8">
        <v>0.71199999999999997</v>
      </c>
      <c r="E101" s="8"/>
      <c r="F101" s="8"/>
      <c r="G101" s="8"/>
      <c r="H101" s="8"/>
      <c r="I101" s="8"/>
      <c r="J101" s="8"/>
      <c r="K101" s="8"/>
    </row>
    <row r="102" spans="1:11" x14ac:dyDescent="0.25">
      <c r="A102" s="8" t="s">
        <v>181</v>
      </c>
      <c r="B102" s="8" t="s">
        <v>230</v>
      </c>
      <c r="C102" s="8">
        <v>0.54100000000000004</v>
      </c>
      <c r="D102" s="8">
        <v>0.61709999999999998</v>
      </c>
      <c r="E102" s="8"/>
      <c r="F102" s="8"/>
      <c r="G102" s="8"/>
      <c r="H102" s="8"/>
      <c r="I102" s="8"/>
      <c r="J102" s="8"/>
      <c r="K102" s="8"/>
    </row>
    <row r="103" spans="1:11" x14ac:dyDescent="0.25">
      <c r="A103" s="8" t="s">
        <v>181</v>
      </c>
      <c r="B103" s="8" t="s">
        <v>11</v>
      </c>
      <c r="C103" s="8">
        <v>-2.7300000000000001E-2</v>
      </c>
      <c r="D103" s="8"/>
      <c r="E103" s="8"/>
      <c r="F103" s="8"/>
      <c r="G103" s="8"/>
      <c r="H103" s="8"/>
      <c r="I103" s="8"/>
      <c r="J103" s="8"/>
      <c r="K103" s="8"/>
    </row>
    <row r="104" spans="1:11" x14ac:dyDescent="0.25">
      <c r="A104" s="8" t="s">
        <v>181</v>
      </c>
      <c r="B104" s="8" t="s">
        <v>197</v>
      </c>
      <c r="C104" s="8">
        <v>0.45600000000000002</v>
      </c>
      <c r="D104" s="8">
        <v>0.7087</v>
      </c>
      <c r="E104" s="8"/>
      <c r="F104" s="8"/>
      <c r="G104" s="8"/>
      <c r="H104" s="8"/>
      <c r="I104" s="8"/>
      <c r="J104" s="8"/>
      <c r="K104" s="8"/>
    </row>
    <row r="105" spans="1:11" x14ac:dyDescent="0.25">
      <c r="A105" s="8" t="s">
        <v>181</v>
      </c>
      <c r="B105" s="8" t="s">
        <v>198</v>
      </c>
      <c r="C105" s="8">
        <v>0.4476</v>
      </c>
      <c r="D105" s="8">
        <v>0.51849999999999996</v>
      </c>
      <c r="E105" s="8"/>
      <c r="F105" s="8"/>
      <c r="G105" s="8"/>
      <c r="H105" s="8"/>
      <c r="I105" s="8"/>
      <c r="J105" s="8"/>
      <c r="K105" s="8"/>
    </row>
    <row r="106" spans="1:11" x14ac:dyDescent="0.25">
      <c r="A106" s="8" t="s">
        <v>181</v>
      </c>
      <c r="B106" s="8" t="s">
        <v>226</v>
      </c>
      <c r="C106" s="8">
        <v>0.50760000000000005</v>
      </c>
      <c r="D106" s="8">
        <v>0.6643</v>
      </c>
      <c r="E106" s="8"/>
      <c r="F106" s="8"/>
      <c r="G106" s="8"/>
      <c r="H106" s="8"/>
      <c r="I106" s="8"/>
      <c r="J106" s="8"/>
      <c r="K106" s="8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CF946-C600-441E-AFE5-73269C6B27E4}">
  <dimension ref="A1:E10"/>
  <sheetViews>
    <sheetView workbookViewId="0">
      <selection activeCell="H15" sqref="H15"/>
    </sheetView>
  </sheetViews>
  <sheetFormatPr defaultRowHeight="14.4" x14ac:dyDescent="0.25"/>
  <cols>
    <col min="1" max="1" width="16.5546875" customWidth="1"/>
    <col min="2" max="5" width="38.109375" customWidth="1"/>
  </cols>
  <sheetData>
    <row r="1" spans="1:5" ht="15.6" x14ac:dyDescent="0.25">
      <c r="A1" s="13" t="s">
        <v>234</v>
      </c>
    </row>
    <row r="3" spans="1:5" x14ac:dyDescent="0.25">
      <c r="A3" s="16" t="s">
        <v>222</v>
      </c>
      <c r="B3" s="16" t="s">
        <v>244</v>
      </c>
      <c r="C3" s="16" t="s">
        <v>245</v>
      </c>
      <c r="D3" s="16" t="s">
        <v>246</v>
      </c>
      <c r="E3" s="16" t="s">
        <v>247</v>
      </c>
    </row>
    <row r="4" spans="1:5" x14ac:dyDescent="0.25">
      <c r="A4" s="8" t="s">
        <v>206</v>
      </c>
      <c r="B4" s="8">
        <v>0.59299999999999997</v>
      </c>
      <c r="C4" s="8">
        <v>0.63019999999999998</v>
      </c>
      <c r="D4" s="8">
        <v>0.71540000000000004</v>
      </c>
      <c r="E4" s="8">
        <v>0.752</v>
      </c>
    </row>
    <row r="5" spans="1:5" x14ac:dyDescent="0.25">
      <c r="A5" s="8" t="s">
        <v>180</v>
      </c>
      <c r="B5" s="8">
        <v>0.65510000000000002</v>
      </c>
      <c r="C5" s="8">
        <v>0.67689999999999995</v>
      </c>
      <c r="D5" s="8">
        <v>0.69789999999999996</v>
      </c>
      <c r="E5" s="8">
        <v>0.73019999999999996</v>
      </c>
    </row>
    <row r="6" spans="1:5" x14ac:dyDescent="0.25">
      <c r="A6" s="8" t="s">
        <v>212</v>
      </c>
      <c r="B6" s="8">
        <v>0.53739999999999999</v>
      </c>
      <c r="C6" s="8">
        <v>0.55149999999999999</v>
      </c>
      <c r="D6" s="8">
        <v>0.61660000000000004</v>
      </c>
      <c r="E6" s="8">
        <v>0.63700000000000001</v>
      </c>
    </row>
    <row r="7" spans="1:5" x14ac:dyDescent="0.25">
      <c r="A7" s="8" t="s">
        <v>182</v>
      </c>
      <c r="B7" s="8">
        <v>0.47860000000000003</v>
      </c>
      <c r="C7" s="8">
        <v>0.48620000000000002</v>
      </c>
      <c r="D7" s="8">
        <v>0.46260000000000001</v>
      </c>
      <c r="E7" s="8">
        <v>0.47770000000000001</v>
      </c>
    </row>
    <row r="8" spans="1:5" x14ac:dyDescent="0.25">
      <c r="A8" s="8" t="s">
        <v>181</v>
      </c>
      <c r="B8" s="8">
        <v>0.26690000000000003</v>
      </c>
      <c r="C8" s="8">
        <v>0.26179999999999998</v>
      </c>
      <c r="D8" s="8">
        <v>0.1865</v>
      </c>
      <c r="E8" s="8">
        <v>0.18859999999999999</v>
      </c>
    </row>
    <row r="10" spans="1:5" x14ac:dyDescent="0.25">
      <c r="A10" s="8" t="s">
        <v>232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093A-CEDC-481B-BC85-00CC3A2E7CD3}">
  <dimension ref="A1:F202"/>
  <sheetViews>
    <sheetView workbookViewId="0"/>
  </sheetViews>
  <sheetFormatPr defaultRowHeight="13.8" x14ac:dyDescent="0.25"/>
  <cols>
    <col min="1" max="1" width="15.77734375" style="8" customWidth="1"/>
    <col min="2" max="2" width="15.5546875" style="8" customWidth="1"/>
    <col min="3" max="3" width="25.5546875" style="8" customWidth="1"/>
    <col min="4" max="4" width="30.77734375" style="8" customWidth="1"/>
    <col min="5" max="5" width="9.88671875" style="8" customWidth="1"/>
    <col min="6" max="6" width="8.88671875" style="8"/>
    <col min="7" max="7" width="13.44140625" style="8" customWidth="1"/>
    <col min="8" max="12" width="31.88671875" style="8" customWidth="1"/>
    <col min="13" max="16384" width="8.88671875" style="8"/>
  </cols>
  <sheetData>
    <row r="1" spans="1:6" ht="15.6" x14ac:dyDescent="0.25">
      <c r="A1" s="13" t="s">
        <v>235</v>
      </c>
    </row>
    <row r="3" spans="1:6" x14ac:dyDescent="0.25">
      <c r="A3" s="9"/>
      <c r="B3" s="9"/>
      <c r="C3" s="9"/>
      <c r="D3" s="9"/>
      <c r="E3" s="9"/>
    </row>
    <row r="4" spans="1:6" s="16" customFormat="1" x14ac:dyDescent="0.25">
      <c r="A4" s="15" t="s">
        <v>222</v>
      </c>
      <c r="B4" s="15" t="s">
        <v>223</v>
      </c>
      <c r="C4" s="15" t="s">
        <v>228</v>
      </c>
      <c r="D4" s="20" t="s">
        <v>229</v>
      </c>
      <c r="E4" s="20" t="s">
        <v>224</v>
      </c>
      <c r="F4" s="16" t="s">
        <v>225</v>
      </c>
    </row>
    <row r="5" spans="1:6" x14ac:dyDescent="0.25">
      <c r="A5" s="10" t="s">
        <v>206</v>
      </c>
      <c r="B5" s="10" t="s">
        <v>33</v>
      </c>
      <c r="C5" s="10">
        <v>0.77470000000000006</v>
      </c>
      <c r="D5" s="10">
        <v>0.89539999999999997</v>
      </c>
      <c r="E5" s="10"/>
    </row>
    <row r="6" spans="1:6" x14ac:dyDescent="0.25">
      <c r="A6" s="10" t="s">
        <v>206</v>
      </c>
      <c r="B6" s="10" t="s">
        <v>30</v>
      </c>
      <c r="C6" s="10">
        <v>0.90739999999999998</v>
      </c>
      <c r="D6" s="10">
        <v>0.93479999999999996</v>
      </c>
    </row>
    <row r="7" spans="1:6" x14ac:dyDescent="0.25">
      <c r="A7" s="10" t="s">
        <v>206</v>
      </c>
      <c r="B7" s="10" t="s">
        <v>26</v>
      </c>
      <c r="C7" s="10">
        <v>0.89249999999999996</v>
      </c>
      <c r="D7" s="10">
        <v>0.91020000000000001</v>
      </c>
    </row>
    <row r="8" spans="1:6" x14ac:dyDescent="0.25">
      <c r="A8" s="10" t="s">
        <v>206</v>
      </c>
      <c r="B8" s="10" t="s">
        <v>40</v>
      </c>
      <c r="C8" s="10">
        <v>0.78049999999999997</v>
      </c>
      <c r="D8" s="10">
        <v>0.84799999999999998</v>
      </c>
    </row>
    <row r="9" spans="1:6" x14ac:dyDescent="0.25">
      <c r="A9" s="10" t="s">
        <v>206</v>
      </c>
      <c r="B9" s="10" t="s">
        <v>28</v>
      </c>
      <c r="C9" s="10">
        <v>0.8569</v>
      </c>
      <c r="D9" s="10">
        <v>0.93</v>
      </c>
    </row>
    <row r="10" spans="1:6" x14ac:dyDescent="0.25">
      <c r="A10" s="10" t="s">
        <v>206</v>
      </c>
      <c r="B10" s="10" t="s">
        <v>27</v>
      </c>
      <c r="C10" s="10">
        <v>0.84919999999999995</v>
      </c>
      <c r="D10" s="10">
        <v>0.9224</v>
      </c>
    </row>
    <row r="11" spans="1:6" x14ac:dyDescent="0.25">
      <c r="A11" s="10" t="s">
        <v>206</v>
      </c>
      <c r="B11" s="10" t="s">
        <v>25</v>
      </c>
      <c r="C11" s="10">
        <v>0.90739999999999998</v>
      </c>
      <c r="D11" s="10">
        <v>0.93700000000000006</v>
      </c>
    </row>
    <row r="12" spans="1:6" x14ac:dyDescent="0.25">
      <c r="A12" s="10" t="s">
        <v>206</v>
      </c>
      <c r="B12" s="10" t="s">
        <v>34</v>
      </c>
      <c r="C12" s="10">
        <v>0.87719999999999998</v>
      </c>
      <c r="D12" s="10">
        <v>0.9425</v>
      </c>
    </row>
    <row r="13" spans="1:6" x14ac:dyDescent="0.25">
      <c r="A13" s="10" t="s">
        <v>206</v>
      </c>
      <c r="B13" s="10" t="s">
        <v>31</v>
      </c>
      <c r="C13" s="10">
        <v>0.86780000000000002</v>
      </c>
      <c r="D13" s="10">
        <v>0.92069999999999996</v>
      </c>
    </row>
    <row r="14" spans="1:6" x14ac:dyDescent="0.25">
      <c r="A14" s="10" t="s">
        <v>206</v>
      </c>
      <c r="B14" s="10" t="s">
        <v>29</v>
      </c>
      <c r="C14" s="10">
        <v>0.88049999999999995</v>
      </c>
      <c r="D14" s="10">
        <v>0.93279999999999996</v>
      </c>
    </row>
    <row r="15" spans="1:6" x14ac:dyDescent="0.25">
      <c r="A15" s="10" t="s">
        <v>206</v>
      </c>
      <c r="B15" s="10" t="s">
        <v>38</v>
      </c>
      <c r="C15" s="10">
        <v>0.78249999999999997</v>
      </c>
      <c r="D15" s="10">
        <v>0.89400000000000002</v>
      </c>
    </row>
    <row r="16" spans="1:6" x14ac:dyDescent="0.25">
      <c r="A16" s="10" t="s">
        <v>206</v>
      </c>
      <c r="B16" s="10" t="s">
        <v>23</v>
      </c>
      <c r="C16" s="10">
        <v>0.87160000000000004</v>
      </c>
      <c r="D16" s="10">
        <v>0.93720000000000003</v>
      </c>
    </row>
    <row r="17" spans="1:4" x14ac:dyDescent="0.25">
      <c r="A17" s="10" t="s">
        <v>206</v>
      </c>
      <c r="B17" s="10" t="s">
        <v>32</v>
      </c>
      <c r="C17" s="10">
        <v>0.90210000000000001</v>
      </c>
      <c r="D17" s="10">
        <v>0.94879999999999998</v>
      </c>
    </row>
    <row r="18" spans="1:4" x14ac:dyDescent="0.25">
      <c r="A18" s="10" t="s">
        <v>206</v>
      </c>
      <c r="B18" s="10" t="s">
        <v>35</v>
      </c>
      <c r="C18" s="10">
        <v>0.86580000000000001</v>
      </c>
      <c r="D18" s="10">
        <v>0.94169999999999998</v>
      </c>
    </row>
    <row r="19" spans="1:4" x14ac:dyDescent="0.25">
      <c r="A19" s="10" t="s">
        <v>206</v>
      </c>
      <c r="B19" s="10" t="s">
        <v>24</v>
      </c>
      <c r="C19" s="10">
        <v>0.78910000000000002</v>
      </c>
      <c r="D19" s="10">
        <v>0.88849999999999996</v>
      </c>
    </row>
    <row r="20" spans="1:4" x14ac:dyDescent="0.25">
      <c r="A20" s="10" t="s">
        <v>180</v>
      </c>
      <c r="B20" s="10" t="s">
        <v>33</v>
      </c>
      <c r="C20" s="10">
        <v>0.34260000000000002</v>
      </c>
      <c r="D20" s="10">
        <v>0.61970000000000003</v>
      </c>
    </row>
    <row r="21" spans="1:4" x14ac:dyDescent="0.25">
      <c r="A21" s="10" t="s">
        <v>180</v>
      </c>
      <c r="B21" s="10" t="s">
        <v>30</v>
      </c>
      <c r="C21" s="10">
        <v>0.373</v>
      </c>
      <c r="D21" s="10">
        <v>0.41070000000000001</v>
      </c>
    </row>
    <row r="22" spans="1:4" x14ac:dyDescent="0.25">
      <c r="A22" s="10" t="s">
        <v>180</v>
      </c>
      <c r="B22" s="10" t="s">
        <v>26</v>
      </c>
      <c r="C22" s="10">
        <v>0.50409999999999999</v>
      </c>
      <c r="D22" s="10">
        <v>0.65090000000000003</v>
      </c>
    </row>
    <row r="23" spans="1:4" x14ac:dyDescent="0.25">
      <c r="A23" s="10" t="s">
        <v>180</v>
      </c>
      <c r="B23" s="10" t="s">
        <v>40</v>
      </c>
      <c r="C23" s="10">
        <v>0.63929999999999998</v>
      </c>
      <c r="D23" s="10">
        <v>0.80900000000000005</v>
      </c>
    </row>
    <row r="24" spans="1:4" x14ac:dyDescent="0.25">
      <c r="A24" s="10" t="s">
        <v>180</v>
      </c>
      <c r="B24" s="10" t="s">
        <v>28</v>
      </c>
      <c r="C24" s="10">
        <v>0.3931</v>
      </c>
      <c r="D24" s="10">
        <v>0.55020000000000002</v>
      </c>
    </row>
    <row r="25" spans="1:4" x14ac:dyDescent="0.25">
      <c r="A25" s="10" t="s">
        <v>180</v>
      </c>
      <c r="B25" s="10" t="s">
        <v>27</v>
      </c>
      <c r="C25" s="10">
        <v>0.5091</v>
      </c>
      <c r="D25" s="10">
        <v>0.65180000000000005</v>
      </c>
    </row>
    <row r="26" spans="1:4" x14ac:dyDescent="0.25">
      <c r="A26" s="10" t="s">
        <v>180</v>
      </c>
      <c r="B26" s="10" t="s">
        <v>25</v>
      </c>
      <c r="C26" s="10">
        <v>0.77610000000000001</v>
      </c>
      <c r="D26" s="10">
        <v>0.85560000000000003</v>
      </c>
    </row>
    <row r="27" spans="1:4" x14ac:dyDescent="0.25">
      <c r="A27" s="10" t="s">
        <v>180</v>
      </c>
      <c r="B27" s="10" t="s">
        <v>34</v>
      </c>
      <c r="C27" s="10">
        <v>0.51300000000000001</v>
      </c>
      <c r="D27" s="10">
        <v>0.7218</v>
      </c>
    </row>
    <row r="28" spans="1:4" x14ac:dyDescent="0.25">
      <c r="A28" s="10" t="s">
        <v>180</v>
      </c>
      <c r="B28" s="10" t="s">
        <v>31</v>
      </c>
      <c r="C28" s="10">
        <v>0.70650000000000002</v>
      </c>
      <c r="D28" s="10">
        <v>0.81040000000000001</v>
      </c>
    </row>
    <row r="29" spans="1:4" x14ac:dyDescent="0.25">
      <c r="A29" s="10" t="s">
        <v>180</v>
      </c>
      <c r="B29" s="10" t="s">
        <v>29</v>
      </c>
      <c r="C29" s="10">
        <v>0.49980000000000002</v>
      </c>
      <c r="D29" s="10">
        <v>0.71450000000000002</v>
      </c>
    </row>
    <row r="30" spans="1:4" x14ac:dyDescent="0.25">
      <c r="A30" s="10" t="s">
        <v>180</v>
      </c>
      <c r="B30" s="10" t="s">
        <v>38</v>
      </c>
      <c r="C30" s="10">
        <v>0.3533</v>
      </c>
      <c r="D30" s="10">
        <v>0.57399999999999995</v>
      </c>
    </row>
    <row r="31" spans="1:4" x14ac:dyDescent="0.25">
      <c r="A31" s="10" t="s">
        <v>180</v>
      </c>
      <c r="B31" s="10" t="s">
        <v>41</v>
      </c>
      <c r="C31" s="10">
        <v>0.3397</v>
      </c>
      <c r="D31" s="10">
        <v>0.52869999999999995</v>
      </c>
    </row>
    <row r="32" spans="1:4" x14ac:dyDescent="0.25">
      <c r="A32" s="10" t="s">
        <v>180</v>
      </c>
      <c r="B32" s="10" t="s">
        <v>23</v>
      </c>
      <c r="C32" s="10">
        <v>0.70920000000000005</v>
      </c>
      <c r="D32" s="10">
        <v>0.83089999999999997</v>
      </c>
    </row>
    <row r="33" spans="1:4" x14ac:dyDescent="0.25">
      <c r="A33" s="10" t="s">
        <v>180</v>
      </c>
      <c r="B33" s="10" t="s">
        <v>32</v>
      </c>
      <c r="C33" s="10">
        <v>0.80569999999999997</v>
      </c>
      <c r="D33" s="10">
        <v>0.86870000000000003</v>
      </c>
    </row>
    <row r="34" spans="1:4" x14ac:dyDescent="0.25">
      <c r="A34" s="10" t="s">
        <v>180</v>
      </c>
      <c r="B34" s="10" t="s">
        <v>35</v>
      </c>
      <c r="C34" s="10">
        <v>0.39190000000000003</v>
      </c>
      <c r="D34" s="10">
        <v>0.62309999999999999</v>
      </c>
    </row>
    <row r="35" spans="1:4" x14ac:dyDescent="0.25">
      <c r="A35" s="10" t="s">
        <v>180</v>
      </c>
      <c r="B35" s="10" t="s">
        <v>24</v>
      </c>
      <c r="C35" s="10">
        <v>0.62980000000000003</v>
      </c>
      <c r="D35" s="10">
        <v>0.74309999999999998</v>
      </c>
    </row>
    <row r="36" spans="1:4" x14ac:dyDescent="0.25">
      <c r="A36" s="10" t="s">
        <v>212</v>
      </c>
      <c r="B36" s="10" t="s">
        <v>213</v>
      </c>
      <c r="C36" s="10">
        <v>0.49540000000000001</v>
      </c>
      <c r="D36" s="10">
        <v>0.44779999999999998</v>
      </c>
    </row>
    <row r="37" spans="1:4" x14ac:dyDescent="0.25">
      <c r="A37" s="10" t="s">
        <v>212</v>
      </c>
      <c r="B37" s="10" t="s">
        <v>214</v>
      </c>
      <c r="C37" s="10">
        <v>0.2351</v>
      </c>
      <c r="D37" s="10">
        <v>0.20100000000000001</v>
      </c>
    </row>
    <row r="38" spans="1:4" x14ac:dyDescent="0.25">
      <c r="A38" s="10" t="s">
        <v>212</v>
      </c>
      <c r="B38" s="10" t="s">
        <v>215</v>
      </c>
      <c r="C38" s="10">
        <v>0.15759999999999999</v>
      </c>
      <c r="D38" s="10">
        <v>0.12709999999999999</v>
      </c>
    </row>
    <row r="39" spans="1:4" x14ac:dyDescent="0.25">
      <c r="A39" s="10" t="s">
        <v>212</v>
      </c>
      <c r="B39" s="10" t="s">
        <v>216</v>
      </c>
      <c r="C39" s="10">
        <v>0.46279999999999999</v>
      </c>
      <c r="D39" s="10">
        <v>0.44280000000000003</v>
      </c>
    </row>
    <row r="40" spans="1:4" x14ac:dyDescent="0.25">
      <c r="A40" s="10" t="s">
        <v>212</v>
      </c>
      <c r="B40" s="10" t="s">
        <v>217</v>
      </c>
      <c r="C40" s="10">
        <v>0.29849999999999999</v>
      </c>
      <c r="D40" s="10">
        <v>0.25109999999999999</v>
      </c>
    </row>
    <row r="41" spans="1:4" x14ac:dyDescent="0.25">
      <c r="A41" s="10" t="s">
        <v>182</v>
      </c>
      <c r="B41" s="10" t="s">
        <v>33</v>
      </c>
      <c r="C41" s="10">
        <v>0.60940000000000005</v>
      </c>
      <c r="D41" s="10">
        <v>0.69840000000000002</v>
      </c>
    </row>
    <row r="42" spans="1:4" x14ac:dyDescent="0.25">
      <c r="A42" s="10" t="s">
        <v>182</v>
      </c>
      <c r="B42" s="10" t="s">
        <v>30</v>
      </c>
      <c r="C42" s="10">
        <v>0.71419999999999995</v>
      </c>
      <c r="D42" s="10">
        <v>0.7944</v>
      </c>
    </row>
    <row r="43" spans="1:4" x14ac:dyDescent="0.25">
      <c r="A43" s="10" t="s">
        <v>182</v>
      </c>
      <c r="B43" s="10" t="s">
        <v>26</v>
      </c>
      <c r="C43" s="10">
        <v>0.66749999999999998</v>
      </c>
      <c r="D43" s="10">
        <v>0.73089999999999999</v>
      </c>
    </row>
    <row r="44" spans="1:4" x14ac:dyDescent="0.25">
      <c r="A44" s="10" t="s">
        <v>182</v>
      </c>
      <c r="B44" s="10" t="s">
        <v>40</v>
      </c>
      <c r="C44" s="10">
        <v>0.58089999999999997</v>
      </c>
      <c r="D44" s="10">
        <v>0.68679999999999997</v>
      </c>
    </row>
    <row r="45" spans="1:4" x14ac:dyDescent="0.25">
      <c r="A45" s="10" t="s">
        <v>182</v>
      </c>
      <c r="B45" s="10" t="s">
        <v>28</v>
      </c>
      <c r="C45" s="10">
        <v>0.6169</v>
      </c>
      <c r="D45" s="10">
        <v>0.73599999999999999</v>
      </c>
    </row>
    <row r="46" spans="1:4" x14ac:dyDescent="0.25">
      <c r="A46" s="10" t="s">
        <v>182</v>
      </c>
      <c r="B46" s="10" t="s">
        <v>27</v>
      </c>
      <c r="C46" s="10">
        <v>0.62780000000000002</v>
      </c>
      <c r="D46" s="10">
        <v>0.76</v>
      </c>
    </row>
    <row r="47" spans="1:4" x14ac:dyDescent="0.25">
      <c r="A47" s="10" t="s">
        <v>182</v>
      </c>
      <c r="B47" s="10" t="s">
        <v>25</v>
      </c>
      <c r="C47" s="10">
        <v>0.71120000000000005</v>
      </c>
      <c r="D47" s="10">
        <v>0.78439999999999999</v>
      </c>
    </row>
    <row r="48" spans="1:4" x14ac:dyDescent="0.25">
      <c r="A48" s="10" t="s">
        <v>182</v>
      </c>
      <c r="B48" s="10" t="s">
        <v>34</v>
      </c>
      <c r="C48" s="10">
        <v>0.73340000000000005</v>
      </c>
      <c r="D48" s="10">
        <v>0.80569999999999997</v>
      </c>
    </row>
    <row r="49" spans="1:4" x14ac:dyDescent="0.25">
      <c r="A49" s="10" t="s">
        <v>182</v>
      </c>
      <c r="B49" s="10" t="s">
        <v>31</v>
      </c>
      <c r="C49" s="10">
        <v>0.6472</v>
      </c>
      <c r="D49" s="10">
        <v>0.74460000000000004</v>
      </c>
    </row>
    <row r="50" spans="1:4" x14ac:dyDescent="0.25">
      <c r="A50" s="10" t="s">
        <v>182</v>
      </c>
      <c r="B50" s="10" t="s">
        <v>29</v>
      </c>
      <c r="C50" s="10">
        <v>0.69550000000000001</v>
      </c>
      <c r="D50" s="10">
        <v>0.72309999999999997</v>
      </c>
    </row>
    <row r="51" spans="1:4" x14ac:dyDescent="0.25">
      <c r="A51" s="10" t="s">
        <v>182</v>
      </c>
      <c r="B51" s="10" t="s">
        <v>38</v>
      </c>
      <c r="C51" s="10">
        <v>0.58660000000000001</v>
      </c>
      <c r="D51" s="10">
        <v>0.58260000000000001</v>
      </c>
    </row>
    <row r="52" spans="1:4" x14ac:dyDescent="0.25">
      <c r="A52" s="10" t="s">
        <v>182</v>
      </c>
      <c r="B52" s="10" t="s">
        <v>41</v>
      </c>
      <c r="C52" s="10">
        <v>0.4239</v>
      </c>
      <c r="D52" s="10">
        <v>0.65</v>
      </c>
    </row>
    <row r="53" spans="1:4" x14ac:dyDescent="0.25">
      <c r="A53" s="10" t="s">
        <v>182</v>
      </c>
      <c r="B53" s="10" t="s">
        <v>23</v>
      </c>
      <c r="C53" s="10">
        <v>0.6331</v>
      </c>
      <c r="D53" s="10">
        <v>0.74790000000000001</v>
      </c>
    </row>
    <row r="54" spans="1:4" x14ac:dyDescent="0.25">
      <c r="A54" s="10" t="s">
        <v>182</v>
      </c>
      <c r="B54" s="10" t="s">
        <v>32</v>
      </c>
      <c r="C54" s="10">
        <v>0.8145</v>
      </c>
      <c r="D54" s="10">
        <v>0.86750000000000005</v>
      </c>
    </row>
    <row r="55" spans="1:4" x14ac:dyDescent="0.25">
      <c r="A55" s="10" t="s">
        <v>182</v>
      </c>
      <c r="B55" s="10" t="s">
        <v>35</v>
      </c>
      <c r="C55" s="10">
        <v>0.66539999999999999</v>
      </c>
      <c r="D55" s="10">
        <v>0.66069999999999995</v>
      </c>
    </row>
    <row r="56" spans="1:4" x14ac:dyDescent="0.25">
      <c r="A56" s="10" t="s">
        <v>182</v>
      </c>
      <c r="B56" s="10" t="s">
        <v>24</v>
      </c>
      <c r="C56" s="10">
        <v>0.56679999999999997</v>
      </c>
      <c r="D56" s="10">
        <v>0.73209999999999997</v>
      </c>
    </row>
    <row r="57" spans="1:4" x14ac:dyDescent="0.25">
      <c r="A57" s="10" t="s">
        <v>181</v>
      </c>
      <c r="B57" s="10" t="s">
        <v>33</v>
      </c>
      <c r="C57" s="10">
        <v>0.57210000000000005</v>
      </c>
      <c r="D57" s="10">
        <v>0.75690000000000002</v>
      </c>
    </row>
    <row r="58" spans="1:4" x14ac:dyDescent="0.25">
      <c r="A58" s="10" t="s">
        <v>181</v>
      </c>
      <c r="B58" s="10" t="s">
        <v>30</v>
      </c>
      <c r="C58" s="10">
        <v>0.73980000000000001</v>
      </c>
      <c r="D58" s="10">
        <v>0.76339999999999997</v>
      </c>
    </row>
    <row r="59" spans="1:4" x14ac:dyDescent="0.25">
      <c r="A59" s="10" t="s">
        <v>181</v>
      </c>
      <c r="B59" s="10" t="s">
        <v>26</v>
      </c>
      <c r="C59" s="10">
        <v>0.70940000000000003</v>
      </c>
      <c r="D59" s="10">
        <v>0.74619999999999997</v>
      </c>
    </row>
    <row r="60" spans="1:4" x14ac:dyDescent="0.25">
      <c r="A60" s="10" t="s">
        <v>181</v>
      </c>
      <c r="B60" s="10" t="s">
        <v>40</v>
      </c>
      <c r="C60" s="10">
        <v>-4.0599999999999997E-2</v>
      </c>
      <c r="D60" s="10">
        <v>-0.1182</v>
      </c>
    </row>
    <row r="61" spans="1:4" x14ac:dyDescent="0.25">
      <c r="A61" s="10" t="s">
        <v>181</v>
      </c>
      <c r="B61" s="10" t="s">
        <v>28</v>
      </c>
      <c r="C61" s="10">
        <v>0.66239999999999999</v>
      </c>
      <c r="D61" s="10">
        <v>0.73180000000000001</v>
      </c>
    </row>
    <row r="62" spans="1:4" x14ac:dyDescent="0.25">
      <c r="A62" s="10" t="s">
        <v>181</v>
      </c>
      <c r="B62" s="10" t="s">
        <v>27</v>
      </c>
      <c r="C62" s="10">
        <v>0.59379999999999999</v>
      </c>
      <c r="D62" s="10">
        <v>0.68769999999999998</v>
      </c>
    </row>
    <row r="63" spans="1:4" x14ac:dyDescent="0.25">
      <c r="A63" s="10" t="s">
        <v>181</v>
      </c>
      <c r="B63" s="10" t="s">
        <v>25</v>
      </c>
      <c r="C63" s="10">
        <v>0.74160000000000004</v>
      </c>
      <c r="D63" s="10">
        <v>0.70960000000000001</v>
      </c>
    </row>
    <row r="64" spans="1:4" x14ac:dyDescent="0.25">
      <c r="A64" s="10" t="s">
        <v>181</v>
      </c>
      <c r="B64" s="10" t="s">
        <v>34</v>
      </c>
      <c r="C64" s="10">
        <v>0.6784</v>
      </c>
      <c r="D64" s="10">
        <v>0.84089999999999998</v>
      </c>
    </row>
    <row r="65" spans="1:5" x14ac:dyDescent="0.25">
      <c r="A65" s="10" t="s">
        <v>181</v>
      </c>
      <c r="B65" s="10" t="s">
        <v>31</v>
      </c>
      <c r="C65" s="10">
        <v>0.53700000000000003</v>
      </c>
      <c r="D65" s="10">
        <v>0.62609999999999999</v>
      </c>
    </row>
    <row r="66" spans="1:5" x14ac:dyDescent="0.25">
      <c r="A66" s="10" t="s">
        <v>181</v>
      </c>
      <c r="B66" s="10" t="s">
        <v>29</v>
      </c>
      <c r="C66" s="10">
        <v>0.71260000000000001</v>
      </c>
      <c r="D66" s="10">
        <v>0.86270000000000002</v>
      </c>
    </row>
    <row r="67" spans="1:5" x14ac:dyDescent="0.25">
      <c r="A67" s="10" t="s">
        <v>181</v>
      </c>
      <c r="B67" s="10" t="s">
        <v>38</v>
      </c>
      <c r="C67" s="10">
        <v>0.61240000000000006</v>
      </c>
      <c r="D67" s="10">
        <v>0.76180000000000003</v>
      </c>
    </row>
    <row r="68" spans="1:5" x14ac:dyDescent="0.25">
      <c r="A68" s="10" t="s">
        <v>181</v>
      </c>
      <c r="B68" s="10" t="s">
        <v>41</v>
      </c>
      <c r="C68" s="10">
        <v>-2.2200000000000001E-2</v>
      </c>
      <c r="D68" s="10">
        <v>-4.8099999999999997E-2</v>
      </c>
    </row>
    <row r="69" spans="1:5" x14ac:dyDescent="0.25">
      <c r="A69" s="9" t="s">
        <v>181</v>
      </c>
      <c r="B69" s="9" t="s">
        <v>23</v>
      </c>
      <c r="C69" s="9">
        <v>0.32550000000000001</v>
      </c>
      <c r="D69" s="10">
        <v>0.35539999999999999</v>
      </c>
    </row>
    <row r="70" spans="1:5" x14ac:dyDescent="0.25">
      <c r="A70" s="9" t="s">
        <v>181</v>
      </c>
      <c r="B70" s="9" t="s">
        <v>32</v>
      </c>
      <c r="C70" s="9">
        <v>0.75790000000000002</v>
      </c>
      <c r="D70" s="10">
        <v>0.76300000000000001</v>
      </c>
      <c r="E70" s="10"/>
    </row>
    <row r="71" spans="1:5" x14ac:dyDescent="0.25">
      <c r="A71" s="9" t="s">
        <v>181</v>
      </c>
      <c r="B71" s="9" t="s">
        <v>35</v>
      </c>
      <c r="C71" s="9">
        <v>0.6915</v>
      </c>
      <c r="D71" s="10">
        <v>0.8044</v>
      </c>
      <c r="E71" s="10"/>
    </row>
    <row r="72" spans="1:5" x14ac:dyDescent="0.25">
      <c r="A72" s="9" t="s">
        <v>181</v>
      </c>
      <c r="B72" s="9" t="s">
        <v>24</v>
      </c>
      <c r="C72" s="9">
        <v>-0.15720000000000001</v>
      </c>
      <c r="D72" s="10">
        <v>-6.4699999999999994E-2</v>
      </c>
      <c r="E72" s="10"/>
    </row>
    <row r="73" spans="1:5" x14ac:dyDescent="0.25">
      <c r="A73" s="9" t="s">
        <v>181</v>
      </c>
      <c r="B73" s="9" t="s">
        <v>24</v>
      </c>
      <c r="C73" s="9">
        <v>-0.15720000000000001</v>
      </c>
      <c r="D73" s="10">
        <v>-6.4699999999999994E-2</v>
      </c>
      <c r="E73" s="10"/>
    </row>
    <row r="74" spans="1:5" x14ac:dyDescent="0.25">
      <c r="A74" s="9"/>
      <c r="B74" s="9"/>
      <c r="C74" s="9"/>
      <c r="D74" s="10"/>
      <c r="E74" s="10"/>
    </row>
    <row r="75" spans="1:5" x14ac:dyDescent="0.25">
      <c r="A75" s="9"/>
      <c r="B75" s="9"/>
      <c r="C75" s="9"/>
      <c r="D75" s="10"/>
      <c r="E75" s="10"/>
    </row>
    <row r="76" spans="1:5" x14ac:dyDescent="0.25">
      <c r="A76" s="9"/>
      <c r="B76" s="9"/>
      <c r="C76" s="9"/>
      <c r="D76" s="10"/>
      <c r="E76" s="10"/>
    </row>
    <row r="77" spans="1:5" x14ac:dyDescent="0.25">
      <c r="A77" s="9"/>
      <c r="B77" s="9"/>
      <c r="C77" s="9"/>
      <c r="D77" s="10"/>
      <c r="E77" s="10"/>
    </row>
    <row r="78" spans="1:5" x14ac:dyDescent="0.25">
      <c r="A78" s="9"/>
      <c r="B78" s="9"/>
      <c r="C78" s="9"/>
      <c r="D78" s="10"/>
      <c r="E78" s="10"/>
    </row>
    <row r="79" spans="1:5" x14ac:dyDescent="0.25">
      <c r="A79" s="9"/>
      <c r="B79" s="9"/>
      <c r="C79" s="9"/>
      <c r="D79" s="10"/>
      <c r="E79" s="10"/>
    </row>
    <row r="80" spans="1:5" x14ac:dyDescent="0.25">
      <c r="A80" s="9"/>
      <c r="B80" s="9"/>
      <c r="C80" s="9"/>
      <c r="D80" s="10"/>
      <c r="E80" s="10"/>
    </row>
    <row r="81" spans="1:5" x14ac:dyDescent="0.25">
      <c r="A81" s="9"/>
      <c r="B81" s="9"/>
      <c r="C81" s="9"/>
      <c r="D81" s="10"/>
      <c r="E81" s="10"/>
    </row>
    <row r="82" spans="1:5" x14ac:dyDescent="0.25">
      <c r="A82" s="9"/>
      <c r="B82" s="9"/>
      <c r="C82" s="9"/>
      <c r="D82" s="10"/>
      <c r="E82" s="10"/>
    </row>
    <row r="83" spans="1:5" x14ac:dyDescent="0.25">
      <c r="A83" s="9"/>
      <c r="B83" s="9"/>
      <c r="C83" s="9"/>
      <c r="D83" s="10"/>
      <c r="E83" s="10"/>
    </row>
    <row r="84" spans="1:5" x14ac:dyDescent="0.25">
      <c r="A84" s="9"/>
      <c r="B84" s="9"/>
      <c r="C84" s="9"/>
      <c r="D84" s="10"/>
      <c r="E84" s="10"/>
    </row>
    <row r="85" spans="1:5" x14ac:dyDescent="0.25">
      <c r="A85" s="9"/>
      <c r="B85" s="9"/>
      <c r="C85" s="9"/>
      <c r="D85" s="10"/>
      <c r="E85" s="10"/>
    </row>
    <row r="86" spans="1:5" x14ac:dyDescent="0.25">
      <c r="A86" s="9"/>
      <c r="B86" s="9"/>
      <c r="C86" s="9"/>
      <c r="D86" s="10"/>
      <c r="E86" s="10"/>
    </row>
    <row r="87" spans="1:5" x14ac:dyDescent="0.25">
      <c r="A87" s="9"/>
      <c r="B87" s="9"/>
      <c r="C87" s="9"/>
      <c r="D87" s="10"/>
      <c r="E87" s="10"/>
    </row>
    <row r="88" spans="1:5" x14ac:dyDescent="0.25">
      <c r="A88" s="9"/>
      <c r="B88" s="9"/>
      <c r="C88" s="9"/>
      <c r="D88" s="10"/>
      <c r="E88" s="10"/>
    </row>
    <row r="89" spans="1:5" x14ac:dyDescent="0.25">
      <c r="A89" s="9"/>
      <c r="B89" s="9"/>
      <c r="C89" s="9"/>
      <c r="D89" s="10"/>
      <c r="E89" s="10"/>
    </row>
    <row r="90" spans="1:5" x14ac:dyDescent="0.25">
      <c r="A90" s="9"/>
      <c r="B90" s="9"/>
      <c r="C90" s="9"/>
      <c r="D90" s="10"/>
      <c r="E90" s="10"/>
    </row>
    <row r="91" spans="1:5" x14ac:dyDescent="0.25">
      <c r="A91" s="9"/>
      <c r="B91" s="9"/>
      <c r="C91" s="9"/>
      <c r="D91" s="10"/>
      <c r="E91" s="10"/>
    </row>
    <row r="92" spans="1:5" x14ac:dyDescent="0.25">
      <c r="A92" s="9"/>
      <c r="B92" s="9"/>
      <c r="C92" s="9"/>
      <c r="D92" s="10"/>
      <c r="E92" s="10"/>
    </row>
    <row r="93" spans="1:5" x14ac:dyDescent="0.25">
      <c r="A93" s="9"/>
      <c r="B93" s="9"/>
      <c r="C93" s="9"/>
      <c r="D93" s="10"/>
      <c r="E93" s="10"/>
    </row>
    <row r="94" spans="1:5" x14ac:dyDescent="0.25">
      <c r="A94" s="9"/>
      <c r="B94" s="9"/>
      <c r="C94" s="9"/>
      <c r="D94" s="10"/>
      <c r="E94" s="10"/>
    </row>
    <row r="95" spans="1:5" x14ac:dyDescent="0.25">
      <c r="A95" s="9"/>
      <c r="B95" s="9"/>
      <c r="C95" s="9"/>
      <c r="D95" s="10"/>
      <c r="E95" s="10"/>
    </row>
    <row r="96" spans="1:5" x14ac:dyDescent="0.25">
      <c r="A96" s="9"/>
      <c r="B96" s="9"/>
      <c r="C96" s="9"/>
      <c r="D96" s="10"/>
      <c r="E96" s="10"/>
    </row>
    <row r="97" spans="1:5" x14ac:dyDescent="0.25">
      <c r="A97" s="9"/>
      <c r="B97" s="9"/>
      <c r="C97" s="9"/>
      <c r="D97" s="10"/>
      <c r="E97" s="10"/>
    </row>
    <row r="98" spans="1:5" x14ac:dyDescent="0.25">
      <c r="A98" s="9"/>
      <c r="B98" s="9"/>
      <c r="C98" s="9"/>
      <c r="D98" s="10"/>
      <c r="E98" s="10"/>
    </row>
    <row r="99" spans="1:5" x14ac:dyDescent="0.25">
      <c r="A99" s="9"/>
      <c r="B99" s="9"/>
      <c r="C99" s="9"/>
      <c r="D99" s="10"/>
      <c r="E99" s="10"/>
    </row>
    <row r="100" spans="1:5" x14ac:dyDescent="0.25">
      <c r="A100" s="9"/>
      <c r="B100" s="9"/>
      <c r="C100" s="9"/>
      <c r="D100" s="10"/>
      <c r="E100" s="10"/>
    </row>
    <row r="101" spans="1:5" x14ac:dyDescent="0.25">
      <c r="A101" s="9"/>
      <c r="B101" s="9"/>
      <c r="C101" s="9"/>
      <c r="D101" s="10"/>
      <c r="E101" s="10"/>
    </row>
    <row r="102" spans="1:5" x14ac:dyDescent="0.25">
      <c r="A102" s="9"/>
      <c r="B102" s="9"/>
      <c r="C102" s="9"/>
      <c r="D102" s="10"/>
      <c r="E102" s="10"/>
    </row>
    <row r="103" spans="1:5" x14ac:dyDescent="0.25">
      <c r="A103" s="9"/>
      <c r="B103" s="9"/>
      <c r="C103" s="9"/>
      <c r="D103" s="10"/>
      <c r="E103" s="10"/>
    </row>
    <row r="104" spans="1:5" x14ac:dyDescent="0.25">
      <c r="A104" s="9"/>
      <c r="B104" s="9"/>
      <c r="C104" s="9"/>
      <c r="D104" s="10"/>
      <c r="E104" s="10"/>
    </row>
    <row r="105" spans="1:5" x14ac:dyDescent="0.25">
      <c r="A105" s="9"/>
      <c r="B105" s="9"/>
      <c r="C105" s="9"/>
      <c r="D105" s="10"/>
      <c r="E105" s="10"/>
    </row>
    <row r="106" spans="1:5" x14ac:dyDescent="0.25">
      <c r="A106" s="9"/>
      <c r="B106" s="9"/>
      <c r="C106" s="9"/>
      <c r="D106" s="10"/>
      <c r="E106" s="10"/>
    </row>
    <row r="107" spans="1:5" x14ac:dyDescent="0.25">
      <c r="A107" s="9"/>
      <c r="B107" s="9"/>
      <c r="C107" s="9"/>
      <c r="D107" s="10"/>
      <c r="E107" s="10"/>
    </row>
    <row r="108" spans="1:5" x14ac:dyDescent="0.25">
      <c r="A108" s="9"/>
      <c r="B108" s="9"/>
      <c r="C108" s="9"/>
      <c r="D108" s="10"/>
      <c r="E108" s="10"/>
    </row>
    <row r="109" spans="1:5" x14ac:dyDescent="0.25">
      <c r="A109" s="9"/>
      <c r="B109" s="9"/>
      <c r="C109" s="9"/>
      <c r="D109" s="10"/>
      <c r="E109" s="10"/>
    </row>
    <row r="110" spans="1:5" x14ac:dyDescent="0.25">
      <c r="A110" s="9"/>
      <c r="B110" s="9"/>
      <c r="C110" s="9"/>
      <c r="D110" s="10"/>
      <c r="E110" s="10"/>
    </row>
    <row r="111" spans="1:5" x14ac:dyDescent="0.25">
      <c r="A111" s="9"/>
      <c r="B111" s="9"/>
      <c r="C111" s="9"/>
      <c r="D111" s="10"/>
      <c r="E111" s="10"/>
    </row>
    <row r="112" spans="1:5" x14ac:dyDescent="0.25">
      <c r="A112" s="9"/>
      <c r="B112" s="9"/>
      <c r="C112" s="9"/>
      <c r="D112" s="10"/>
      <c r="E112" s="10"/>
    </row>
    <row r="113" spans="1:5" x14ac:dyDescent="0.25">
      <c r="A113" s="9"/>
      <c r="B113" s="9"/>
      <c r="C113" s="9"/>
      <c r="D113" s="10"/>
      <c r="E113" s="10"/>
    </row>
    <row r="114" spans="1:5" x14ac:dyDescent="0.25">
      <c r="A114" s="9"/>
      <c r="B114" s="9"/>
      <c r="C114" s="9"/>
      <c r="D114" s="10"/>
      <c r="E114" s="10"/>
    </row>
    <row r="115" spans="1:5" x14ac:dyDescent="0.25">
      <c r="A115" s="9"/>
      <c r="B115" s="9"/>
      <c r="C115" s="9"/>
      <c r="D115" s="10"/>
      <c r="E115" s="10"/>
    </row>
    <row r="116" spans="1:5" x14ac:dyDescent="0.25">
      <c r="A116" s="9"/>
      <c r="B116" s="9"/>
      <c r="C116" s="9"/>
      <c r="D116" s="10"/>
      <c r="E116" s="10"/>
    </row>
    <row r="117" spans="1:5" x14ac:dyDescent="0.25">
      <c r="A117" s="9"/>
      <c r="B117" s="9"/>
      <c r="C117" s="9"/>
      <c r="D117" s="10"/>
      <c r="E117" s="10"/>
    </row>
    <row r="118" spans="1:5" x14ac:dyDescent="0.25">
      <c r="A118" s="9"/>
      <c r="B118" s="9"/>
      <c r="C118" s="9"/>
      <c r="D118" s="10"/>
      <c r="E118" s="10"/>
    </row>
    <row r="119" spans="1:5" x14ac:dyDescent="0.25">
      <c r="A119" s="9"/>
      <c r="B119" s="9"/>
      <c r="C119" s="9"/>
      <c r="D119" s="10"/>
      <c r="E119" s="10"/>
    </row>
    <row r="120" spans="1:5" x14ac:dyDescent="0.25">
      <c r="A120" s="9"/>
      <c r="B120" s="9"/>
      <c r="C120" s="9"/>
      <c r="D120" s="10"/>
      <c r="E120" s="10"/>
    </row>
    <row r="121" spans="1:5" x14ac:dyDescent="0.25">
      <c r="A121" s="9"/>
      <c r="B121" s="9"/>
      <c r="C121" s="9"/>
      <c r="D121" s="10"/>
      <c r="E121" s="10"/>
    </row>
    <row r="122" spans="1:5" x14ac:dyDescent="0.25">
      <c r="A122" s="9"/>
      <c r="B122" s="9"/>
      <c r="C122" s="9"/>
      <c r="D122" s="10"/>
      <c r="E122" s="10"/>
    </row>
    <row r="123" spans="1:5" x14ac:dyDescent="0.25">
      <c r="A123" s="9"/>
      <c r="B123" s="9"/>
      <c r="C123" s="9"/>
      <c r="D123" s="10"/>
      <c r="E123" s="10"/>
    </row>
    <row r="124" spans="1:5" x14ac:dyDescent="0.25">
      <c r="A124" s="9"/>
      <c r="B124" s="9"/>
      <c r="C124" s="9"/>
      <c r="D124" s="10"/>
      <c r="E124" s="10"/>
    </row>
    <row r="125" spans="1:5" x14ac:dyDescent="0.25">
      <c r="A125" s="9"/>
      <c r="B125" s="9"/>
      <c r="C125" s="9"/>
      <c r="D125" s="10"/>
      <c r="E125" s="10"/>
    </row>
    <row r="126" spans="1:5" x14ac:dyDescent="0.25">
      <c r="A126" s="9"/>
      <c r="B126" s="9"/>
      <c r="C126" s="9"/>
      <c r="D126" s="10"/>
      <c r="E126" s="10"/>
    </row>
    <row r="127" spans="1:5" x14ac:dyDescent="0.25">
      <c r="A127" s="9"/>
      <c r="B127" s="9"/>
      <c r="C127" s="9"/>
      <c r="D127" s="10"/>
      <c r="E127" s="10"/>
    </row>
    <row r="128" spans="1:5" x14ac:dyDescent="0.25">
      <c r="A128" s="9"/>
      <c r="B128" s="9"/>
      <c r="C128" s="9"/>
      <c r="D128" s="10"/>
      <c r="E128" s="10"/>
    </row>
    <row r="129" spans="1:5" x14ac:dyDescent="0.25">
      <c r="A129" s="9"/>
      <c r="B129" s="9"/>
      <c r="C129" s="9"/>
      <c r="D129" s="10"/>
      <c r="E129" s="10"/>
    </row>
    <row r="130" spans="1:5" x14ac:dyDescent="0.25">
      <c r="A130" s="9"/>
      <c r="B130" s="9"/>
      <c r="C130" s="9"/>
      <c r="D130" s="10"/>
      <c r="E130" s="10"/>
    </row>
    <row r="131" spans="1:5" x14ac:dyDescent="0.25">
      <c r="A131" s="9"/>
      <c r="B131" s="9"/>
      <c r="C131" s="9"/>
      <c r="D131" s="10"/>
      <c r="E131" s="10"/>
    </row>
    <row r="132" spans="1:5" x14ac:dyDescent="0.25">
      <c r="A132" s="9"/>
      <c r="B132" s="9"/>
      <c r="C132" s="9"/>
      <c r="D132" s="10"/>
      <c r="E132" s="10"/>
    </row>
    <row r="133" spans="1:5" x14ac:dyDescent="0.25">
      <c r="A133" s="9"/>
      <c r="B133" s="9"/>
      <c r="C133" s="9"/>
      <c r="D133" s="10"/>
      <c r="E133" s="10"/>
    </row>
    <row r="134" spans="1:5" x14ac:dyDescent="0.25">
      <c r="A134" s="9"/>
      <c r="B134" s="9"/>
      <c r="C134" s="9"/>
      <c r="D134" s="10"/>
      <c r="E134" s="10"/>
    </row>
    <row r="135" spans="1:5" x14ac:dyDescent="0.25">
      <c r="A135" s="9"/>
      <c r="B135" s="9"/>
      <c r="C135" s="9"/>
      <c r="D135" s="10"/>
      <c r="E135" s="10"/>
    </row>
    <row r="136" spans="1:5" x14ac:dyDescent="0.25">
      <c r="A136" s="9"/>
      <c r="B136" s="9"/>
      <c r="C136" s="9"/>
      <c r="D136" s="10"/>
      <c r="E136" s="10"/>
    </row>
    <row r="137" spans="1:5" x14ac:dyDescent="0.25">
      <c r="A137" s="9"/>
      <c r="B137" s="9"/>
      <c r="C137" s="9"/>
      <c r="D137" s="10"/>
      <c r="E137" s="10"/>
    </row>
    <row r="138" spans="1:5" x14ac:dyDescent="0.25">
      <c r="A138" s="9"/>
      <c r="B138" s="9"/>
      <c r="C138" s="9"/>
      <c r="D138" s="10"/>
      <c r="E138" s="10"/>
    </row>
    <row r="139" spans="1:5" x14ac:dyDescent="0.25">
      <c r="A139" s="9"/>
      <c r="B139" s="9"/>
      <c r="C139" s="9"/>
      <c r="D139" s="10"/>
      <c r="E139" s="10"/>
    </row>
    <row r="140" spans="1:5" x14ac:dyDescent="0.25">
      <c r="A140" s="9"/>
      <c r="B140" s="9"/>
      <c r="C140" s="9"/>
      <c r="D140" s="10"/>
      <c r="E140" s="10"/>
    </row>
    <row r="141" spans="1:5" x14ac:dyDescent="0.25">
      <c r="A141" s="9"/>
      <c r="B141" s="9"/>
      <c r="C141" s="9"/>
      <c r="D141" s="10"/>
      <c r="E141" s="10"/>
    </row>
    <row r="142" spans="1:5" x14ac:dyDescent="0.25">
      <c r="A142" s="9"/>
      <c r="B142" s="9"/>
      <c r="C142" s="9"/>
      <c r="D142" s="10"/>
      <c r="E142" s="10"/>
    </row>
    <row r="143" spans="1:5" x14ac:dyDescent="0.25">
      <c r="A143" s="9"/>
      <c r="B143" s="9"/>
      <c r="C143" s="9"/>
      <c r="D143" s="10"/>
      <c r="E143" s="10"/>
    </row>
    <row r="144" spans="1:5" x14ac:dyDescent="0.25">
      <c r="A144" s="9"/>
      <c r="B144" s="9"/>
      <c r="C144" s="9"/>
      <c r="D144" s="10"/>
      <c r="E144" s="10"/>
    </row>
    <row r="145" spans="1:5" x14ac:dyDescent="0.25">
      <c r="A145" s="9"/>
      <c r="B145" s="9"/>
      <c r="C145" s="9"/>
      <c r="D145" s="10"/>
      <c r="E145" s="10"/>
    </row>
    <row r="146" spans="1:5" x14ac:dyDescent="0.25">
      <c r="A146" s="9"/>
      <c r="B146" s="9"/>
      <c r="C146" s="9"/>
      <c r="D146" s="10"/>
      <c r="E146" s="10"/>
    </row>
    <row r="147" spans="1:5" x14ac:dyDescent="0.25">
      <c r="A147" s="9"/>
      <c r="B147" s="9"/>
      <c r="C147" s="9"/>
      <c r="D147" s="10"/>
      <c r="E147" s="10"/>
    </row>
    <row r="148" spans="1:5" x14ac:dyDescent="0.25">
      <c r="A148" s="9"/>
      <c r="B148" s="9"/>
      <c r="C148" s="9"/>
      <c r="D148" s="10"/>
      <c r="E148" s="10"/>
    </row>
    <row r="149" spans="1:5" x14ac:dyDescent="0.25">
      <c r="A149" s="9"/>
      <c r="B149" s="9"/>
      <c r="C149" s="9"/>
      <c r="D149" s="10"/>
      <c r="E149" s="10"/>
    </row>
    <row r="150" spans="1:5" x14ac:dyDescent="0.25">
      <c r="A150" s="9"/>
      <c r="B150" s="9"/>
      <c r="C150" s="9"/>
      <c r="D150" s="10"/>
      <c r="E150" s="10"/>
    </row>
    <row r="151" spans="1:5" x14ac:dyDescent="0.25">
      <c r="A151" s="9"/>
      <c r="B151" s="9"/>
      <c r="C151" s="9"/>
      <c r="D151" s="10"/>
      <c r="E151" s="10"/>
    </row>
    <row r="152" spans="1:5" x14ac:dyDescent="0.25">
      <c r="A152" s="9"/>
      <c r="B152" s="9"/>
      <c r="C152" s="9"/>
      <c r="D152" s="10"/>
      <c r="E152" s="10"/>
    </row>
    <row r="153" spans="1:5" x14ac:dyDescent="0.25">
      <c r="A153" s="9"/>
      <c r="B153" s="9"/>
      <c r="C153" s="9"/>
      <c r="D153" s="10"/>
      <c r="E153" s="10"/>
    </row>
    <row r="154" spans="1:5" x14ac:dyDescent="0.25">
      <c r="A154" s="9"/>
      <c r="B154" s="9"/>
      <c r="C154" s="9"/>
      <c r="D154" s="10"/>
      <c r="E154" s="10"/>
    </row>
    <row r="155" spans="1:5" x14ac:dyDescent="0.25">
      <c r="A155" s="9"/>
      <c r="B155" s="9"/>
      <c r="C155" s="9"/>
      <c r="D155" s="10"/>
      <c r="E155" s="10"/>
    </row>
    <row r="156" spans="1:5" x14ac:dyDescent="0.25">
      <c r="A156" s="9"/>
      <c r="B156" s="9"/>
      <c r="C156" s="9"/>
      <c r="D156" s="10"/>
      <c r="E156" s="10"/>
    </row>
    <row r="157" spans="1:5" x14ac:dyDescent="0.25">
      <c r="A157" s="9"/>
      <c r="B157" s="9"/>
      <c r="C157" s="9"/>
      <c r="D157" s="10"/>
      <c r="E157" s="10"/>
    </row>
    <row r="158" spans="1:5" x14ac:dyDescent="0.25">
      <c r="A158" s="9"/>
      <c r="B158" s="9"/>
      <c r="C158" s="9"/>
      <c r="D158" s="10"/>
      <c r="E158" s="10"/>
    </row>
    <row r="159" spans="1:5" x14ac:dyDescent="0.25">
      <c r="A159" s="9"/>
      <c r="B159" s="9"/>
      <c r="C159" s="9"/>
      <c r="D159" s="9"/>
      <c r="E159" s="9"/>
    </row>
    <row r="160" spans="1:5" x14ac:dyDescent="0.25">
      <c r="A160" s="9"/>
      <c r="B160" s="9"/>
      <c r="C160" s="9"/>
      <c r="D160" s="10"/>
      <c r="E160" s="10"/>
    </row>
    <row r="161" spans="1:5" x14ac:dyDescent="0.25">
      <c r="A161" s="9"/>
      <c r="B161" s="9"/>
      <c r="C161" s="9"/>
      <c r="D161" s="10"/>
      <c r="E161" s="10"/>
    </row>
    <row r="162" spans="1:5" x14ac:dyDescent="0.25">
      <c r="A162" s="9"/>
      <c r="B162" s="9"/>
      <c r="C162" s="9"/>
      <c r="D162" s="10"/>
      <c r="E162" s="10"/>
    </row>
    <row r="163" spans="1:5" x14ac:dyDescent="0.25">
      <c r="A163" s="9"/>
      <c r="B163" s="9"/>
      <c r="C163" s="9"/>
      <c r="D163" s="10"/>
      <c r="E163" s="10"/>
    </row>
    <row r="164" spans="1:5" x14ac:dyDescent="0.25">
      <c r="A164" s="9"/>
      <c r="B164" s="9"/>
      <c r="C164" s="9"/>
      <c r="D164" s="10"/>
      <c r="E164" s="10"/>
    </row>
    <row r="165" spans="1:5" x14ac:dyDescent="0.25">
      <c r="A165" s="9"/>
      <c r="B165" s="9"/>
      <c r="C165" s="9"/>
      <c r="D165" s="10"/>
      <c r="E165" s="10"/>
    </row>
    <row r="166" spans="1:5" x14ac:dyDescent="0.25">
      <c r="A166" s="9"/>
      <c r="B166" s="9"/>
      <c r="C166" s="9"/>
      <c r="D166" s="10"/>
      <c r="E166" s="10"/>
    </row>
    <row r="167" spans="1:5" x14ac:dyDescent="0.25">
      <c r="A167" s="9"/>
      <c r="B167" s="9"/>
      <c r="C167" s="9"/>
      <c r="D167" s="9"/>
      <c r="E167" s="9"/>
    </row>
    <row r="168" spans="1:5" x14ac:dyDescent="0.25">
      <c r="A168" s="9"/>
      <c r="B168" s="9"/>
      <c r="C168" s="9"/>
      <c r="D168" s="10"/>
      <c r="E168" s="10"/>
    </row>
    <row r="169" spans="1:5" x14ac:dyDescent="0.25">
      <c r="A169" s="9"/>
      <c r="B169" s="9"/>
      <c r="C169" s="9"/>
      <c r="D169" s="10"/>
      <c r="E169" s="10"/>
    </row>
    <row r="170" spans="1:5" x14ac:dyDescent="0.25">
      <c r="A170" s="9"/>
      <c r="B170" s="9"/>
      <c r="C170" s="9"/>
      <c r="D170" s="10"/>
      <c r="E170" s="10"/>
    </row>
    <row r="171" spans="1:5" x14ac:dyDescent="0.25">
      <c r="A171" s="9"/>
      <c r="B171" s="9"/>
      <c r="C171" s="9"/>
      <c r="D171" s="9"/>
      <c r="E171" s="9"/>
    </row>
    <row r="172" spans="1:5" x14ac:dyDescent="0.25">
      <c r="A172" s="9"/>
      <c r="B172" s="9"/>
      <c r="C172" s="9"/>
      <c r="D172" s="10"/>
      <c r="E172" s="10"/>
    </row>
    <row r="173" spans="1:5" x14ac:dyDescent="0.25">
      <c r="A173" s="9"/>
      <c r="B173" s="9"/>
      <c r="C173" s="9"/>
      <c r="D173" s="10"/>
      <c r="E173" s="10"/>
    </row>
    <row r="174" spans="1:5" x14ac:dyDescent="0.25">
      <c r="A174" s="9"/>
      <c r="B174" s="9"/>
      <c r="C174" s="9"/>
      <c r="D174" s="10"/>
      <c r="E174" s="10"/>
    </row>
    <row r="175" spans="1:5" x14ac:dyDescent="0.25">
      <c r="A175" s="9"/>
      <c r="B175" s="9"/>
      <c r="C175" s="9"/>
      <c r="D175" s="9"/>
      <c r="E175" s="9"/>
    </row>
    <row r="176" spans="1:5" x14ac:dyDescent="0.25">
      <c r="A176" s="9"/>
      <c r="B176" s="9"/>
      <c r="C176" s="9"/>
      <c r="D176" s="10"/>
      <c r="E176" s="10"/>
    </row>
    <row r="177" spans="1:5" x14ac:dyDescent="0.25">
      <c r="A177" s="9"/>
      <c r="B177" s="9"/>
      <c r="C177" s="9"/>
      <c r="D177" s="10"/>
      <c r="E177" s="10"/>
    </row>
    <row r="178" spans="1:5" x14ac:dyDescent="0.25">
      <c r="A178" s="9"/>
      <c r="B178" s="9"/>
      <c r="C178" s="9"/>
      <c r="D178" s="10"/>
      <c r="E178" s="10"/>
    </row>
    <row r="179" spans="1:5" x14ac:dyDescent="0.25">
      <c r="A179" s="9"/>
      <c r="B179" s="9"/>
      <c r="C179" s="9"/>
      <c r="D179" s="10"/>
      <c r="E179" s="10"/>
    </row>
    <row r="180" spans="1:5" x14ac:dyDescent="0.25">
      <c r="A180" s="9"/>
      <c r="B180" s="9"/>
      <c r="C180" s="9"/>
      <c r="D180" s="10"/>
      <c r="E180" s="10"/>
    </row>
    <row r="181" spans="1:5" x14ac:dyDescent="0.25">
      <c r="A181" s="9"/>
      <c r="B181" s="9"/>
      <c r="C181" s="9"/>
      <c r="D181" s="10"/>
      <c r="E181" s="10"/>
    </row>
    <row r="182" spans="1:5" x14ac:dyDescent="0.25">
      <c r="A182" s="9"/>
      <c r="B182" s="9"/>
      <c r="C182" s="9"/>
      <c r="D182" s="10"/>
      <c r="E182" s="10"/>
    </row>
    <row r="183" spans="1:5" x14ac:dyDescent="0.25">
      <c r="A183" s="9"/>
      <c r="B183" s="9"/>
      <c r="C183" s="9"/>
      <c r="D183" s="10"/>
      <c r="E183" s="10"/>
    </row>
    <row r="184" spans="1:5" x14ac:dyDescent="0.25">
      <c r="A184" s="9"/>
      <c r="B184" s="9"/>
      <c r="C184" s="9"/>
      <c r="D184" s="10"/>
      <c r="E184" s="10"/>
    </row>
    <row r="185" spans="1:5" x14ac:dyDescent="0.25">
      <c r="A185" s="9"/>
      <c r="B185" s="9"/>
      <c r="C185" s="9"/>
      <c r="D185" s="10"/>
      <c r="E185" s="10"/>
    </row>
    <row r="186" spans="1:5" x14ac:dyDescent="0.25">
      <c r="A186" s="9"/>
      <c r="B186" s="9"/>
      <c r="C186" s="9"/>
      <c r="D186" s="9"/>
      <c r="E186" s="9"/>
    </row>
    <row r="187" spans="1:5" x14ac:dyDescent="0.25">
      <c r="A187" s="9"/>
      <c r="B187" s="9"/>
      <c r="C187" s="9"/>
      <c r="D187" s="10"/>
      <c r="E187" s="10"/>
    </row>
    <row r="188" spans="1:5" x14ac:dyDescent="0.25">
      <c r="A188" s="9"/>
      <c r="B188" s="9"/>
      <c r="C188" s="9"/>
      <c r="D188" s="10"/>
      <c r="E188" s="10"/>
    </row>
    <row r="189" spans="1:5" x14ac:dyDescent="0.25">
      <c r="A189" s="9"/>
      <c r="B189" s="9"/>
      <c r="C189" s="9"/>
      <c r="D189" s="10"/>
      <c r="E189" s="10"/>
    </row>
    <row r="190" spans="1:5" x14ac:dyDescent="0.25">
      <c r="A190" s="9"/>
      <c r="B190" s="9"/>
      <c r="C190" s="9"/>
      <c r="D190" s="9"/>
      <c r="E190" s="9"/>
    </row>
    <row r="191" spans="1:5" x14ac:dyDescent="0.25">
      <c r="A191" s="9"/>
      <c r="B191" s="9"/>
      <c r="C191" s="9"/>
      <c r="D191" s="10"/>
      <c r="E191" s="10"/>
    </row>
    <row r="192" spans="1:5" x14ac:dyDescent="0.25">
      <c r="A192" s="9"/>
      <c r="B192" s="9"/>
      <c r="C192" s="9"/>
      <c r="D192" s="10"/>
      <c r="E192" s="10"/>
    </row>
    <row r="193" spans="1:5" x14ac:dyDescent="0.25">
      <c r="A193" s="9"/>
      <c r="B193" s="9"/>
      <c r="C193" s="9"/>
      <c r="D193" s="10"/>
      <c r="E193" s="10"/>
    </row>
    <row r="194" spans="1:5" x14ac:dyDescent="0.25">
      <c r="A194" s="9"/>
      <c r="B194" s="9"/>
      <c r="C194" s="9"/>
      <c r="D194" s="10"/>
      <c r="E194" s="10"/>
    </row>
    <row r="195" spans="1:5" x14ac:dyDescent="0.25">
      <c r="A195" s="9"/>
      <c r="B195" s="9"/>
      <c r="C195" s="9"/>
      <c r="D195" s="10"/>
      <c r="E195" s="10"/>
    </row>
    <row r="196" spans="1:5" x14ac:dyDescent="0.25">
      <c r="A196" s="9"/>
      <c r="B196" s="9"/>
      <c r="C196" s="9"/>
      <c r="D196" s="10"/>
      <c r="E196" s="10"/>
    </row>
    <row r="197" spans="1:5" x14ac:dyDescent="0.25">
      <c r="A197" s="9"/>
      <c r="B197" s="9"/>
      <c r="C197" s="9"/>
      <c r="D197" s="10"/>
      <c r="E197" s="10"/>
    </row>
    <row r="198" spans="1:5" x14ac:dyDescent="0.25">
      <c r="A198" s="9"/>
      <c r="B198" s="9"/>
      <c r="C198" s="9"/>
      <c r="D198" s="9"/>
      <c r="E198" s="9"/>
    </row>
    <row r="199" spans="1:5" x14ac:dyDescent="0.25">
      <c r="A199" s="9"/>
      <c r="B199" s="9"/>
      <c r="C199" s="9"/>
      <c r="D199" s="10"/>
      <c r="E199" s="10"/>
    </row>
    <row r="200" spans="1:5" x14ac:dyDescent="0.25">
      <c r="A200" s="9"/>
      <c r="B200" s="9"/>
      <c r="C200" s="9"/>
      <c r="D200" s="10"/>
      <c r="E200" s="10"/>
    </row>
    <row r="201" spans="1:5" x14ac:dyDescent="0.25">
      <c r="A201" s="9"/>
      <c r="B201" s="9"/>
      <c r="C201" s="9"/>
      <c r="D201" s="10"/>
      <c r="E201" s="10"/>
    </row>
    <row r="202" spans="1:5" x14ac:dyDescent="0.25">
      <c r="A202" s="9"/>
      <c r="B202" s="9"/>
      <c r="C202" s="9"/>
      <c r="D202" s="9"/>
      <c r="E202" s="9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AD92-3B83-4E06-8663-ED1279BB672D}">
  <dimension ref="A1:F10"/>
  <sheetViews>
    <sheetView workbookViewId="0">
      <selection activeCell="D4" sqref="D4"/>
    </sheetView>
  </sheetViews>
  <sheetFormatPr defaultRowHeight="14.4" x14ac:dyDescent="0.25"/>
  <cols>
    <col min="1" max="1" width="15.44140625" customWidth="1"/>
    <col min="2" max="3" width="32" customWidth="1"/>
    <col min="4" max="4" width="36.21875" customWidth="1"/>
    <col min="5" max="5" width="37.33203125" customWidth="1"/>
    <col min="6" max="6" width="8.88671875" customWidth="1"/>
  </cols>
  <sheetData>
    <row r="1" spans="1:6" ht="15.6" x14ac:dyDescent="0.25">
      <c r="A1" s="13" t="s">
        <v>236</v>
      </c>
    </row>
    <row r="3" spans="1:6" x14ac:dyDescent="0.25">
      <c r="A3" s="16" t="s">
        <v>222</v>
      </c>
      <c r="B3" s="16" t="s">
        <v>244</v>
      </c>
      <c r="C3" s="16" t="s">
        <v>245</v>
      </c>
      <c r="D3" s="16" t="s">
        <v>246</v>
      </c>
      <c r="E3" s="16" t="s">
        <v>247</v>
      </c>
      <c r="F3" s="16"/>
    </row>
    <row r="4" spans="1:6" x14ac:dyDescent="0.25">
      <c r="A4" s="8" t="s">
        <v>206</v>
      </c>
      <c r="B4" s="8">
        <v>0.83789999999999998</v>
      </c>
      <c r="C4" s="8">
        <v>0.8911</v>
      </c>
      <c r="D4" s="8">
        <v>0.85370000000000001</v>
      </c>
      <c r="E4" s="8">
        <v>0.87890000000000001</v>
      </c>
      <c r="F4" s="8"/>
    </row>
    <row r="5" spans="1:6" x14ac:dyDescent="0.25">
      <c r="A5" s="8" t="s">
        <v>180</v>
      </c>
      <c r="B5" s="8">
        <v>0.62780000000000002</v>
      </c>
      <c r="C5" s="8">
        <v>0.67889999999999995</v>
      </c>
      <c r="D5" s="8">
        <v>0.64070000000000005</v>
      </c>
      <c r="E5" s="8">
        <v>0.68520000000000003</v>
      </c>
      <c r="F5" s="8"/>
    </row>
    <row r="6" spans="1:6" x14ac:dyDescent="0.25">
      <c r="A6" s="8" t="s">
        <v>212</v>
      </c>
      <c r="B6" s="8">
        <v>0.20530000000000001</v>
      </c>
      <c r="C6" s="8">
        <v>0.2203</v>
      </c>
      <c r="D6" s="8">
        <v>0.2021</v>
      </c>
      <c r="E6" s="8">
        <v>0.29239999999999999</v>
      </c>
      <c r="F6" s="8"/>
    </row>
    <row r="7" spans="1:6" x14ac:dyDescent="0.25">
      <c r="A7" s="8" t="s">
        <v>182</v>
      </c>
      <c r="B7" s="8">
        <v>0.63500000000000001</v>
      </c>
      <c r="C7" s="8">
        <v>0.6673</v>
      </c>
      <c r="D7" s="8">
        <v>0.56000000000000005</v>
      </c>
      <c r="E7" s="8">
        <v>0.59460000000000002</v>
      </c>
      <c r="F7" s="8"/>
    </row>
    <row r="8" spans="1:6" x14ac:dyDescent="0.25">
      <c r="A8" s="8" t="s">
        <v>181</v>
      </c>
      <c r="B8" s="8">
        <v>0.44950000000000001</v>
      </c>
      <c r="C8" s="8">
        <v>0.52990000000000004</v>
      </c>
      <c r="D8" s="8">
        <v>0.20949999999999999</v>
      </c>
      <c r="E8" s="8">
        <v>0.26550000000000001</v>
      </c>
      <c r="F8" s="8"/>
    </row>
    <row r="9" spans="1:6" x14ac:dyDescent="0.25">
      <c r="A9" s="8"/>
      <c r="B9" s="8"/>
      <c r="C9" s="8"/>
      <c r="D9" s="8"/>
      <c r="E9" s="8"/>
      <c r="F9" s="8"/>
    </row>
    <row r="10" spans="1:6" x14ac:dyDescent="0.25">
      <c r="A10" s="8" t="s">
        <v>232</v>
      </c>
      <c r="B10" s="8"/>
      <c r="C10" s="8"/>
      <c r="D10" s="8"/>
      <c r="E10" s="8"/>
      <c r="F10" s="8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94B8-C174-4A77-9CAF-F991B72A5137}">
  <dimension ref="A1:I256"/>
  <sheetViews>
    <sheetView workbookViewId="0"/>
  </sheetViews>
  <sheetFormatPr defaultRowHeight="13.8" x14ac:dyDescent="0.25"/>
  <cols>
    <col min="1" max="1" width="19.5546875" style="8" customWidth="1"/>
    <col min="2" max="2" width="22.33203125" style="8" customWidth="1"/>
    <col min="3" max="3" width="27.77734375" style="8" customWidth="1"/>
    <col min="4" max="4" width="30.44140625" style="8" customWidth="1"/>
    <col min="5" max="5" width="16.77734375" style="8" customWidth="1"/>
    <col min="6" max="6" width="8.88671875" style="8"/>
    <col min="7" max="7" width="12.109375" style="8" customWidth="1"/>
    <col min="8" max="9" width="27.6640625" style="9" customWidth="1"/>
    <col min="10" max="13" width="27.6640625" style="8" customWidth="1"/>
    <col min="14" max="16384" width="8.88671875" style="8"/>
  </cols>
  <sheetData>
    <row r="1" spans="1:9" ht="15.6" x14ac:dyDescent="0.25">
      <c r="A1" s="13" t="s">
        <v>237</v>
      </c>
      <c r="H1" s="8"/>
      <c r="I1" s="8"/>
    </row>
    <row r="2" spans="1:9" x14ac:dyDescent="0.25">
      <c r="H2" s="8"/>
      <c r="I2" s="8"/>
    </row>
    <row r="3" spans="1:9" s="16" customFormat="1" x14ac:dyDescent="0.25">
      <c r="A3" s="15" t="s">
        <v>222</v>
      </c>
      <c r="B3" s="15" t="s">
        <v>223</v>
      </c>
      <c r="C3" s="15" t="s">
        <v>228</v>
      </c>
      <c r="D3" s="15" t="s">
        <v>229</v>
      </c>
      <c r="E3" s="16" t="s">
        <v>224</v>
      </c>
      <c r="F3" s="16" t="s">
        <v>225</v>
      </c>
    </row>
    <row r="4" spans="1:9" x14ac:dyDescent="0.25">
      <c r="A4" s="9" t="s">
        <v>206</v>
      </c>
      <c r="B4" s="9" t="s">
        <v>54</v>
      </c>
      <c r="C4" s="10">
        <v>0.92630000000000001</v>
      </c>
      <c r="D4" s="10">
        <v>0.92879999999999996</v>
      </c>
    </row>
    <row r="5" spans="1:9" x14ac:dyDescent="0.25">
      <c r="A5" s="9" t="s">
        <v>206</v>
      </c>
      <c r="B5" s="9" t="s">
        <v>53</v>
      </c>
      <c r="C5" s="10">
        <v>0.93830000000000002</v>
      </c>
      <c r="D5" s="10">
        <v>0.95240000000000002</v>
      </c>
    </row>
    <row r="6" spans="1:9" x14ac:dyDescent="0.25">
      <c r="A6" s="9" t="s">
        <v>206</v>
      </c>
      <c r="B6" s="9" t="s">
        <v>74</v>
      </c>
      <c r="C6" s="10">
        <v>0.85009999999999997</v>
      </c>
      <c r="D6" s="10">
        <v>0.86140000000000005</v>
      </c>
    </row>
    <row r="7" spans="1:9" x14ac:dyDescent="0.25">
      <c r="A7" s="9" t="s">
        <v>206</v>
      </c>
      <c r="B7" s="9" t="s">
        <v>82</v>
      </c>
      <c r="C7" s="10">
        <v>0.92090000000000005</v>
      </c>
      <c r="D7" s="10">
        <v>0.92190000000000005</v>
      </c>
    </row>
    <row r="8" spans="1:9" x14ac:dyDescent="0.25">
      <c r="A8" s="9" t="s">
        <v>206</v>
      </c>
      <c r="B8" s="9" t="s">
        <v>84</v>
      </c>
      <c r="C8" s="10">
        <v>0.87109999999999999</v>
      </c>
      <c r="D8" s="10">
        <v>0.87809999999999999</v>
      </c>
    </row>
    <row r="9" spans="1:9" x14ac:dyDescent="0.25">
      <c r="A9" s="9" t="s">
        <v>206</v>
      </c>
      <c r="B9" s="9" t="s">
        <v>70</v>
      </c>
      <c r="C9" s="10">
        <v>0.93400000000000005</v>
      </c>
      <c r="D9" s="10">
        <v>0.9375</v>
      </c>
      <c r="H9" s="10"/>
      <c r="I9" s="10"/>
    </row>
    <row r="10" spans="1:9" x14ac:dyDescent="0.25">
      <c r="A10" s="9" t="s">
        <v>206</v>
      </c>
      <c r="B10" s="9" t="s">
        <v>80</v>
      </c>
      <c r="C10" s="10">
        <v>0.93289999999999995</v>
      </c>
      <c r="D10" s="10">
        <v>0.92789999999999995</v>
      </c>
      <c r="H10" s="10"/>
      <c r="I10" s="10"/>
    </row>
    <row r="11" spans="1:9" x14ac:dyDescent="0.25">
      <c r="A11" s="9" t="s">
        <v>206</v>
      </c>
      <c r="B11" s="9" t="s">
        <v>90</v>
      </c>
      <c r="C11" s="10">
        <v>0.90300000000000002</v>
      </c>
      <c r="D11" s="10">
        <v>0.90680000000000005</v>
      </c>
      <c r="H11" s="10"/>
      <c r="I11" s="10"/>
    </row>
    <row r="12" spans="1:9" x14ac:dyDescent="0.25">
      <c r="A12" s="9" t="s">
        <v>206</v>
      </c>
      <c r="B12" s="9" t="s">
        <v>100</v>
      </c>
      <c r="C12" s="10">
        <v>0.85540000000000005</v>
      </c>
      <c r="D12" s="10">
        <v>0.88149999999999995</v>
      </c>
      <c r="H12" s="10"/>
      <c r="I12" s="10"/>
    </row>
    <row r="13" spans="1:9" x14ac:dyDescent="0.25">
      <c r="A13" s="9" t="s">
        <v>206</v>
      </c>
      <c r="B13" s="9" t="s">
        <v>94</v>
      </c>
      <c r="C13" s="10">
        <v>0.83889999999999998</v>
      </c>
      <c r="D13" s="10">
        <v>0.85340000000000005</v>
      </c>
      <c r="H13" s="10"/>
      <c r="I13" s="10"/>
    </row>
    <row r="14" spans="1:9" x14ac:dyDescent="0.25">
      <c r="A14" s="9" t="s">
        <v>206</v>
      </c>
      <c r="B14" s="9" t="s">
        <v>72</v>
      </c>
      <c r="C14" s="10">
        <v>0.93510000000000004</v>
      </c>
      <c r="D14" s="10">
        <v>0.9335</v>
      </c>
      <c r="H14" s="10"/>
      <c r="I14" s="10"/>
    </row>
    <row r="15" spans="1:9" x14ac:dyDescent="0.25">
      <c r="A15" s="9" t="s">
        <v>206</v>
      </c>
      <c r="B15" s="9" t="s">
        <v>38</v>
      </c>
      <c r="C15" s="10">
        <v>0.92410000000000003</v>
      </c>
      <c r="D15" s="10">
        <v>0.93230000000000002</v>
      </c>
      <c r="H15" s="10"/>
      <c r="I15" s="10"/>
    </row>
    <row r="16" spans="1:9" x14ac:dyDescent="0.25">
      <c r="A16" s="9" t="s">
        <v>206</v>
      </c>
      <c r="B16" s="9" t="s">
        <v>102</v>
      </c>
      <c r="C16" s="10">
        <v>0.88149999999999995</v>
      </c>
      <c r="D16" s="10">
        <v>0.86050000000000004</v>
      </c>
      <c r="H16" s="10"/>
      <c r="I16" s="10"/>
    </row>
    <row r="17" spans="1:9" x14ac:dyDescent="0.25">
      <c r="A17" s="9" t="s">
        <v>206</v>
      </c>
      <c r="B17" s="9" t="s">
        <v>64</v>
      </c>
      <c r="C17" s="10">
        <v>0.92</v>
      </c>
      <c r="D17" s="10">
        <v>0.90759999999999996</v>
      </c>
      <c r="H17" s="10"/>
      <c r="I17" s="10"/>
    </row>
    <row r="18" spans="1:9" x14ac:dyDescent="0.25">
      <c r="A18" s="9" t="s">
        <v>206</v>
      </c>
      <c r="B18" s="9" t="s">
        <v>59</v>
      </c>
      <c r="C18" s="10">
        <v>0.89280000000000004</v>
      </c>
      <c r="D18" s="10">
        <v>0.89580000000000004</v>
      </c>
      <c r="H18" s="10"/>
      <c r="I18" s="10"/>
    </row>
    <row r="19" spans="1:9" x14ac:dyDescent="0.25">
      <c r="A19" s="9" t="s">
        <v>206</v>
      </c>
      <c r="B19" s="9" t="s">
        <v>55</v>
      </c>
      <c r="C19" s="10">
        <v>0.90959999999999996</v>
      </c>
      <c r="D19" s="10">
        <v>0.92600000000000005</v>
      </c>
      <c r="H19" s="10"/>
      <c r="I19" s="10"/>
    </row>
    <row r="20" spans="1:9" x14ac:dyDescent="0.25">
      <c r="A20" s="9" t="s">
        <v>206</v>
      </c>
      <c r="B20" s="9" t="s">
        <v>68</v>
      </c>
      <c r="C20" s="10">
        <v>0.92230000000000001</v>
      </c>
      <c r="D20" s="10">
        <v>0.93100000000000005</v>
      </c>
      <c r="H20" s="10"/>
      <c r="I20" s="10"/>
    </row>
    <row r="21" spans="1:9" x14ac:dyDescent="0.25">
      <c r="A21" s="9" t="s">
        <v>206</v>
      </c>
      <c r="B21" s="9" t="s">
        <v>95</v>
      </c>
      <c r="C21" s="10">
        <v>0.90159999999999996</v>
      </c>
      <c r="D21" s="10">
        <v>0.89629999999999999</v>
      </c>
      <c r="H21" s="10"/>
      <c r="I21" s="10"/>
    </row>
    <row r="22" spans="1:9" x14ac:dyDescent="0.25">
      <c r="A22" s="9" t="s">
        <v>206</v>
      </c>
      <c r="B22" s="9" t="s">
        <v>76</v>
      </c>
      <c r="C22" s="10">
        <v>0.8649</v>
      </c>
      <c r="D22" s="10">
        <v>0.85299999999999998</v>
      </c>
      <c r="H22" s="10"/>
      <c r="I22" s="10"/>
    </row>
    <row r="23" spans="1:9" x14ac:dyDescent="0.25">
      <c r="A23" s="9" t="s">
        <v>206</v>
      </c>
      <c r="B23" s="9" t="s">
        <v>105</v>
      </c>
      <c r="C23" s="10">
        <v>0.83889999999999998</v>
      </c>
      <c r="D23" s="10">
        <v>0.85329999999999995</v>
      </c>
      <c r="H23" s="10"/>
      <c r="I23" s="10"/>
    </row>
    <row r="24" spans="1:9" x14ac:dyDescent="0.25">
      <c r="A24" s="9" t="s">
        <v>206</v>
      </c>
      <c r="B24" s="9" t="s">
        <v>89</v>
      </c>
      <c r="C24" s="10">
        <v>0.89800000000000002</v>
      </c>
      <c r="D24" s="10">
        <v>0.89970000000000006</v>
      </c>
      <c r="H24" s="10"/>
      <c r="I24" s="10"/>
    </row>
    <row r="25" spans="1:9" x14ac:dyDescent="0.25">
      <c r="A25" s="9" t="s">
        <v>206</v>
      </c>
      <c r="B25" s="9" t="s">
        <v>57</v>
      </c>
      <c r="C25" s="10">
        <v>0.8911</v>
      </c>
      <c r="D25" s="10">
        <v>0.89770000000000005</v>
      </c>
      <c r="H25" s="10"/>
      <c r="I25" s="10"/>
    </row>
    <row r="26" spans="1:9" x14ac:dyDescent="0.25">
      <c r="A26" s="9" t="s">
        <v>206</v>
      </c>
      <c r="B26" s="9" t="s">
        <v>56</v>
      </c>
      <c r="C26" s="10">
        <v>0.90810000000000002</v>
      </c>
      <c r="D26" s="10">
        <v>0.9</v>
      </c>
      <c r="H26" s="10"/>
      <c r="I26" s="10"/>
    </row>
    <row r="27" spans="1:9" x14ac:dyDescent="0.25">
      <c r="A27" s="9" t="s">
        <v>206</v>
      </c>
      <c r="B27" s="9" t="s">
        <v>73</v>
      </c>
      <c r="C27" s="10">
        <v>0.89500000000000002</v>
      </c>
      <c r="D27" s="10">
        <v>0.87549999999999994</v>
      </c>
      <c r="H27" s="10"/>
      <c r="I27" s="10"/>
    </row>
    <row r="28" spans="1:9" x14ac:dyDescent="0.25">
      <c r="A28" s="9" t="s">
        <v>206</v>
      </c>
      <c r="B28" s="9" t="s">
        <v>77</v>
      </c>
      <c r="C28" s="10">
        <v>0.84030000000000005</v>
      </c>
      <c r="D28" s="10">
        <v>0.84430000000000005</v>
      </c>
      <c r="H28" s="10"/>
      <c r="I28" s="10"/>
    </row>
    <row r="29" spans="1:9" x14ac:dyDescent="0.25">
      <c r="A29" s="9" t="s">
        <v>206</v>
      </c>
      <c r="B29" s="9" t="s">
        <v>85</v>
      </c>
      <c r="C29" s="10">
        <v>0.91049999999999998</v>
      </c>
      <c r="D29" s="10">
        <v>0.91639999999999999</v>
      </c>
      <c r="H29" s="10"/>
      <c r="I29" s="10"/>
    </row>
    <row r="30" spans="1:9" x14ac:dyDescent="0.25">
      <c r="A30" s="9" t="s">
        <v>206</v>
      </c>
      <c r="B30" s="9" t="s">
        <v>92</v>
      </c>
      <c r="C30" s="10">
        <v>0.89570000000000005</v>
      </c>
      <c r="D30" s="10">
        <v>0.89249999999999996</v>
      </c>
      <c r="H30" s="10"/>
      <c r="I30" s="10"/>
    </row>
    <row r="31" spans="1:9" x14ac:dyDescent="0.25">
      <c r="A31" s="9" t="s">
        <v>206</v>
      </c>
      <c r="B31" s="9" t="s">
        <v>60</v>
      </c>
      <c r="C31" s="10">
        <v>0.92220000000000002</v>
      </c>
      <c r="D31" s="10">
        <v>0.92279999999999995</v>
      </c>
      <c r="H31" s="10"/>
      <c r="I31" s="10"/>
    </row>
    <row r="32" spans="1:9" x14ac:dyDescent="0.25">
      <c r="A32" s="9" t="s">
        <v>206</v>
      </c>
      <c r="B32" s="9" t="s">
        <v>66</v>
      </c>
      <c r="C32" s="10">
        <v>0.91349999999999998</v>
      </c>
      <c r="D32" s="10">
        <v>0.90659999999999996</v>
      </c>
      <c r="H32" s="10"/>
      <c r="I32" s="10"/>
    </row>
    <row r="33" spans="1:9" x14ac:dyDescent="0.25">
      <c r="A33" s="9" t="s">
        <v>206</v>
      </c>
      <c r="B33" s="9" t="s">
        <v>79</v>
      </c>
      <c r="C33" s="10">
        <v>0.89859999999999995</v>
      </c>
      <c r="D33" s="10">
        <v>0.90080000000000005</v>
      </c>
      <c r="H33" s="10"/>
      <c r="I33" s="10"/>
    </row>
    <row r="34" spans="1:9" x14ac:dyDescent="0.25">
      <c r="A34" s="9" t="s">
        <v>206</v>
      </c>
      <c r="B34" s="9" t="s">
        <v>87</v>
      </c>
      <c r="C34" s="10">
        <v>0.83660000000000001</v>
      </c>
      <c r="D34" s="10">
        <v>0.86860000000000004</v>
      </c>
      <c r="H34" s="10"/>
      <c r="I34" s="10"/>
    </row>
    <row r="35" spans="1:9" x14ac:dyDescent="0.25">
      <c r="A35" s="9" t="s">
        <v>206</v>
      </c>
      <c r="B35" s="9" t="s">
        <v>88</v>
      </c>
      <c r="C35" s="10">
        <v>0.81230000000000002</v>
      </c>
      <c r="D35" s="10">
        <v>0.85360000000000003</v>
      </c>
      <c r="H35" s="10"/>
      <c r="I35" s="10"/>
    </row>
    <row r="36" spans="1:9" x14ac:dyDescent="0.25">
      <c r="A36" s="9" t="s">
        <v>206</v>
      </c>
      <c r="B36" s="9" t="s">
        <v>69</v>
      </c>
      <c r="C36" s="10">
        <v>0.87519999999999998</v>
      </c>
      <c r="D36" s="10">
        <v>0.8528</v>
      </c>
      <c r="H36" s="10"/>
      <c r="I36" s="10"/>
    </row>
    <row r="37" spans="1:9" x14ac:dyDescent="0.25">
      <c r="A37" s="9" t="s">
        <v>206</v>
      </c>
      <c r="B37" s="9" t="s">
        <v>81</v>
      </c>
      <c r="C37" s="10">
        <v>0.74119999999999997</v>
      </c>
      <c r="D37" s="10">
        <v>0.75090000000000001</v>
      </c>
      <c r="H37" s="10"/>
      <c r="I37" s="10"/>
    </row>
    <row r="38" spans="1:9" x14ac:dyDescent="0.25">
      <c r="A38" s="9" t="s">
        <v>206</v>
      </c>
      <c r="B38" s="9" t="s">
        <v>71</v>
      </c>
      <c r="C38" s="10">
        <v>0.87949999999999995</v>
      </c>
      <c r="D38" s="10">
        <v>0.91259999999999997</v>
      </c>
      <c r="H38" s="10"/>
      <c r="I38" s="10"/>
    </row>
    <row r="39" spans="1:9" x14ac:dyDescent="0.25">
      <c r="A39" s="9" t="s">
        <v>206</v>
      </c>
      <c r="B39" s="9" t="s">
        <v>58</v>
      </c>
      <c r="C39" s="10">
        <v>0.93410000000000004</v>
      </c>
      <c r="D39" s="10">
        <v>0.96030000000000004</v>
      </c>
      <c r="H39" s="10"/>
      <c r="I39" s="10"/>
    </row>
    <row r="40" spans="1:9" x14ac:dyDescent="0.25">
      <c r="A40" s="9" t="s">
        <v>206</v>
      </c>
      <c r="B40" s="9" t="s">
        <v>83</v>
      </c>
      <c r="C40" s="10">
        <v>0.9012</v>
      </c>
      <c r="D40" s="10">
        <v>0.93120000000000003</v>
      </c>
      <c r="H40" s="10"/>
      <c r="I40" s="10"/>
    </row>
    <row r="41" spans="1:9" x14ac:dyDescent="0.25">
      <c r="A41" s="9" t="s">
        <v>206</v>
      </c>
      <c r="B41" s="9" t="s">
        <v>61</v>
      </c>
      <c r="C41" s="10">
        <v>0.92079999999999995</v>
      </c>
      <c r="D41" s="10">
        <v>0.91890000000000005</v>
      </c>
      <c r="H41" s="10"/>
      <c r="I41" s="10"/>
    </row>
    <row r="42" spans="1:9" x14ac:dyDescent="0.25">
      <c r="A42" s="9" t="s">
        <v>206</v>
      </c>
      <c r="B42" s="9" t="s">
        <v>65</v>
      </c>
      <c r="C42" s="10">
        <v>0.88890000000000002</v>
      </c>
      <c r="D42" s="10">
        <v>0.84109999999999996</v>
      </c>
      <c r="H42" s="10"/>
      <c r="I42" s="10"/>
    </row>
    <row r="43" spans="1:9" x14ac:dyDescent="0.25">
      <c r="A43" s="9" t="s">
        <v>206</v>
      </c>
      <c r="B43" s="9" t="s">
        <v>104</v>
      </c>
      <c r="C43" s="10">
        <v>0.75429999999999997</v>
      </c>
      <c r="D43" s="10">
        <v>0.80869999999999997</v>
      </c>
      <c r="H43" s="10"/>
      <c r="I43" s="10"/>
    </row>
    <row r="44" spans="1:9" x14ac:dyDescent="0.25">
      <c r="A44" s="9" t="s">
        <v>206</v>
      </c>
      <c r="B44" s="9" t="s">
        <v>62</v>
      </c>
      <c r="C44" s="10">
        <v>0.92490000000000006</v>
      </c>
      <c r="D44" s="10">
        <v>0.92820000000000003</v>
      </c>
      <c r="H44" s="10"/>
      <c r="I44" s="10"/>
    </row>
    <row r="45" spans="1:9" x14ac:dyDescent="0.25">
      <c r="A45" s="9" t="s">
        <v>206</v>
      </c>
      <c r="B45" s="9" t="s">
        <v>98</v>
      </c>
      <c r="C45" s="10">
        <v>0.90339999999999998</v>
      </c>
      <c r="D45" s="10">
        <v>0.92520000000000002</v>
      </c>
      <c r="H45" s="10"/>
      <c r="I45" s="10"/>
    </row>
    <row r="46" spans="1:9" x14ac:dyDescent="0.25">
      <c r="A46" s="9" t="s">
        <v>206</v>
      </c>
      <c r="B46" s="9" t="s">
        <v>97</v>
      </c>
      <c r="C46" s="10">
        <v>0.78849999999999998</v>
      </c>
      <c r="D46" s="10">
        <v>0.80569999999999997</v>
      </c>
      <c r="H46" s="10"/>
      <c r="I46" s="10"/>
    </row>
    <row r="47" spans="1:9" x14ac:dyDescent="0.25">
      <c r="A47" s="9" t="s">
        <v>206</v>
      </c>
      <c r="B47" s="9" t="s">
        <v>75</v>
      </c>
      <c r="C47" s="10">
        <v>0.91239999999999999</v>
      </c>
      <c r="D47" s="10">
        <v>0.91449999999999998</v>
      </c>
      <c r="H47" s="10"/>
      <c r="I47" s="10"/>
    </row>
    <row r="48" spans="1:9" x14ac:dyDescent="0.25">
      <c r="A48" s="9" t="s">
        <v>206</v>
      </c>
      <c r="B48" s="9" t="s">
        <v>63</v>
      </c>
      <c r="C48" s="10">
        <v>0.79269999999999996</v>
      </c>
      <c r="D48" s="10">
        <v>0.86319999999999997</v>
      </c>
      <c r="H48" s="10"/>
      <c r="I48" s="10"/>
    </row>
    <row r="49" spans="1:9" x14ac:dyDescent="0.25">
      <c r="A49" s="9" t="s">
        <v>206</v>
      </c>
      <c r="B49" s="9" t="s">
        <v>93</v>
      </c>
      <c r="C49" s="10">
        <v>0.84730000000000005</v>
      </c>
      <c r="D49" s="10">
        <v>0.83979999999999999</v>
      </c>
      <c r="H49" s="10"/>
      <c r="I49" s="10"/>
    </row>
    <row r="50" spans="1:9" x14ac:dyDescent="0.25">
      <c r="A50" s="9" t="s">
        <v>206</v>
      </c>
      <c r="B50" s="9" t="s">
        <v>91</v>
      </c>
      <c r="C50" s="10">
        <v>0.88490000000000002</v>
      </c>
      <c r="D50" s="10">
        <v>0.89080000000000004</v>
      </c>
      <c r="H50" s="10"/>
      <c r="I50" s="10"/>
    </row>
    <row r="51" spans="1:9" x14ac:dyDescent="0.25">
      <c r="A51" s="9" t="s">
        <v>206</v>
      </c>
      <c r="B51" s="9" t="s">
        <v>78</v>
      </c>
      <c r="C51" s="10">
        <v>0.92010000000000003</v>
      </c>
      <c r="D51" s="10">
        <v>0.92530000000000001</v>
      </c>
      <c r="H51" s="10"/>
      <c r="I51" s="10"/>
    </row>
    <row r="52" spans="1:9" x14ac:dyDescent="0.25">
      <c r="A52" s="9" t="s">
        <v>206</v>
      </c>
      <c r="B52" s="9" t="s">
        <v>86</v>
      </c>
      <c r="C52" s="10">
        <v>0.91220000000000001</v>
      </c>
      <c r="D52" s="10">
        <v>0.91090000000000004</v>
      </c>
      <c r="H52" s="10"/>
      <c r="I52" s="10"/>
    </row>
    <row r="53" spans="1:9" x14ac:dyDescent="0.25">
      <c r="A53" s="9" t="s">
        <v>206</v>
      </c>
      <c r="B53" s="9" t="s">
        <v>67</v>
      </c>
      <c r="C53" s="10">
        <v>0.91420000000000001</v>
      </c>
      <c r="D53" s="10">
        <v>0.91659999999999997</v>
      </c>
      <c r="H53" s="10"/>
      <c r="I53" s="10"/>
    </row>
    <row r="54" spans="1:9" x14ac:dyDescent="0.25">
      <c r="A54" s="9" t="s">
        <v>180</v>
      </c>
      <c r="B54" s="9" t="s">
        <v>54</v>
      </c>
      <c r="C54" s="10">
        <v>0.43880000000000002</v>
      </c>
      <c r="D54" s="10">
        <v>0.65280000000000005</v>
      </c>
      <c r="H54" s="10"/>
      <c r="I54" s="10"/>
    </row>
    <row r="55" spans="1:9" x14ac:dyDescent="0.25">
      <c r="A55" s="9" t="s">
        <v>180</v>
      </c>
      <c r="B55" s="9" t="s">
        <v>53</v>
      </c>
      <c r="C55" s="10">
        <v>0.32379999999999998</v>
      </c>
      <c r="D55" s="10">
        <v>0.49</v>
      </c>
      <c r="H55" s="10"/>
      <c r="I55" s="10"/>
    </row>
    <row r="56" spans="1:9" x14ac:dyDescent="0.25">
      <c r="A56" s="9" t="s">
        <v>180</v>
      </c>
      <c r="B56" s="9" t="s">
        <v>74</v>
      </c>
      <c r="C56" s="10">
        <v>0.4073</v>
      </c>
      <c r="D56" s="10">
        <v>0.57020000000000004</v>
      </c>
      <c r="H56" s="10"/>
      <c r="I56" s="10"/>
    </row>
    <row r="57" spans="1:9" x14ac:dyDescent="0.25">
      <c r="A57" s="9" t="s">
        <v>180</v>
      </c>
      <c r="B57" s="9" t="s">
        <v>82</v>
      </c>
      <c r="C57" s="10">
        <v>0.30359999999999998</v>
      </c>
      <c r="D57" s="10">
        <v>0.42870000000000003</v>
      </c>
      <c r="H57" s="10"/>
      <c r="I57" s="10"/>
    </row>
    <row r="58" spans="1:9" x14ac:dyDescent="0.25">
      <c r="A58" s="9" t="s">
        <v>180</v>
      </c>
      <c r="B58" s="9" t="s">
        <v>106</v>
      </c>
      <c r="C58" s="10">
        <v>0.30620000000000003</v>
      </c>
      <c r="D58" s="10">
        <v>0.41959999999999997</v>
      </c>
      <c r="H58" s="10"/>
      <c r="I58" s="10"/>
    </row>
    <row r="59" spans="1:9" x14ac:dyDescent="0.25">
      <c r="A59" s="9" t="s">
        <v>180</v>
      </c>
      <c r="B59" s="9" t="s">
        <v>99</v>
      </c>
      <c r="C59" s="10">
        <v>0.24909999999999999</v>
      </c>
      <c r="D59" s="10">
        <v>0.40200000000000002</v>
      </c>
      <c r="H59" s="10"/>
      <c r="I59" s="10"/>
    </row>
    <row r="60" spans="1:9" x14ac:dyDescent="0.25">
      <c r="A60" s="9" t="s">
        <v>180</v>
      </c>
      <c r="B60" s="9" t="s">
        <v>84</v>
      </c>
      <c r="C60" s="10">
        <v>0.3155</v>
      </c>
      <c r="D60" s="10">
        <v>0.41810000000000003</v>
      </c>
      <c r="H60" s="10"/>
      <c r="I60" s="10"/>
    </row>
    <row r="61" spans="1:9" x14ac:dyDescent="0.25">
      <c r="A61" s="9" t="s">
        <v>180</v>
      </c>
      <c r="B61" s="9" t="s">
        <v>70</v>
      </c>
      <c r="C61" s="10">
        <v>0.25469999999999998</v>
      </c>
      <c r="D61" s="10">
        <v>0.37619999999999998</v>
      </c>
      <c r="H61" s="10"/>
      <c r="I61" s="10"/>
    </row>
    <row r="62" spans="1:9" x14ac:dyDescent="0.25">
      <c r="A62" s="9" t="s">
        <v>180</v>
      </c>
      <c r="B62" s="9" t="s">
        <v>80</v>
      </c>
      <c r="C62" s="10">
        <v>0.30599999999999999</v>
      </c>
      <c r="D62" s="10">
        <v>0.4304</v>
      </c>
      <c r="H62" s="10"/>
      <c r="I62" s="10"/>
    </row>
    <row r="63" spans="1:9" x14ac:dyDescent="0.25">
      <c r="A63" s="9" t="s">
        <v>180</v>
      </c>
      <c r="B63" s="9" t="s">
        <v>90</v>
      </c>
      <c r="C63" s="10">
        <v>0.51170000000000004</v>
      </c>
      <c r="D63" s="10">
        <v>0.67349999999999999</v>
      </c>
      <c r="H63" s="10"/>
      <c r="I63" s="10"/>
    </row>
    <row r="64" spans="1:9" x14ac:dyDescent="0.25">
      <c r="A64" s="9" t="s">
        <v>180</v>
      </c>
      <c r="B64" s="9" t="s">
        <v>100</v>
      </c>
      <c r="C64" s="10">
        <v>0.36709999999999998</v>
      </c>
      <c r="D64" s="10">
        <v>0.52749999999999997</v>
      </c>
      <c r="H64" s="10"/>
      <c r="I64" s="10"/>
    </row>
    <row r="65" spans="1:9" x14ac:dyDescent="0.25">
      <c r="A65" s="9" t="s">
        <v>180</v>
      </c>
      <c r="B65" s="9" t="s">
        <v>94</v>
      </c>
      <c r="C65" s="10">
        <v>0.33350000000000002</v>
      </c>
      <c r="D65" s="10">
        <v>0.4728</v>
      </c>
      <c r="H65" s="10"/>
      <c r="I65" s="10"/>
    </row>
    <row r="66" spans="1:9" x14ac:dyDescent="0.25">
      <c r="A66" s="9" t="s">
        <v>180</v>
      </c>
      <c r="B66" s="9" t="s">
        <v>107</v>
      </c>
      <c r="C66" s="10">
        <v>0.19389999999999999</v>
      </c>
      <c r="D66" s="10">
        <v>0.30740000000000001</v>
      </c>
      <c r="H66" s="10"/>
      <c r="I66" s="10"/>
    </row>
    <row r="67" spans="1:9" x14ac:dyDescent="0.25">
      <c r="A67" s="9" t="s">
        <v>180</v>
      </c>
      <c r="B67" s="9" t="s">
        <v>96</v>
      </c>
      <c r="C67" s="9">
        <v>0.21479999999999999</v>
      </c>
      <c r="D67" s="9">
        <v>0.33069999999999999</v>
      </c>
      <c r="H67" s="10"/>
      <c r="I67" s="10"/>
    </row>
    <row r="68" spans="1:9" x14ac:dyDescent="0.25">
      <c r="A68" s="9" t="s">
        <v>180</v>
      </c>
      <c r="B68" s="9" t="s">
        <v>72</v>
      </c>
      <c r="C68" s="9">
        <v>0.35510000000000003</v>
      </c>
      <c r="D68" s="9">
        <v>0.46729999999999999</v>
      </c>
      <c r="H68" s="10"/>
      <c r="I68" s="10"/>
    </row>
    <row r="69" spans="1:9" x14ac:dyDescent="0.25">
      <c r="A69" s="9" t="s">
        <v>180</v>
      </c>
      <c r="B69" s="9" t="s">
        <v>38</v>
      </c>
      <c r="C69" s="10">
        <v>0.49640000000000001</v>
      </c>
      <c r="D69" s="10">
        <v>0.67669999999999997</v>
      </c>
      <c r="H69" s="10"/>
      <c r="I69" s="10"/>
    </row>
    <row r="70" spans="1:9" x14ac:dyDescent="0.25">
      <c r="A70" s="9" t="s">
        <v>180</v>
      </c>
      <c r="B70" s="9" t="s">
        <v>102</v>
      </c>
      <c r="C70" s="9">
        <v>0.2467</v>
      </c>
      <c r="D70" s="10">
        <v>0.4103</v>
      </c>
      <c r="H70" s="10"/>
      <c r="I70" s="10"/>
    </row>
    <row r="71" spans="1:9" x14ac:dyDescent="0.25">
      <c r="A71" s="9" t="s">
        <v>180</v>
      </c>
      <c r="B71" s="9" t="s">
        <v>64</v>
      </c>
      <c r="C71" s="9">
        <v>0.54600000000000004</v>
      </c>
      <c r="D71" s="9">
        <v>0.71509999999999996</v>
      </c>
      <c r="H71" s="10"/>
      <c r="I71" s="10"/>
    </row>
    <row r="72" spans="1:9" x14ac:dyDescent="0.25">
      <c r="A72" s="9" t="s">
        <v>180</v>
      </c>
      <c r="B72" s="9" t="s">
        <v>59</v>
      </c>
      <c r="C72" s="9">
        <v>0.43059999999999998</v>
      </c>
      <c r="D72" s="9">
        <v>0.57550000000000001</v>
      </c>
      <c r="H72" s="10"/>
      <c r="I72" s="10"/>
    </row>
    <row r="73" spans="1:9" x14ac:dyDescent="0.25">
      <c r="A73" s="9" t="s">
        <v>180</v>
      </c>
      <c r="B73" s="9" t="s">
        <v>55</v>
      </c>
      <c r="C73" s="9">
        <v>0.44929999999999998</v>
      </c>
      <c r="D73" s="9">
        <v>0.62339999999999995</v>
      </c>
      <c r="H73" s="10"/>
      <c r="I73" s="10"/>
    </row>
    <row r="74" spans="1:9" x14ac:dyDescent="0.25">
      <c r="A74" s="9" t="s">
        <v>180</v>
      </c>
      <c r="B74" s="9" t="s">
        <v>68</v>
      </c>
      <c r="C74" s="10">
        <v>0.53639999999999999</v>
      </c>
      <c r="D74" s="10">
        <v>0.71240000000000003</v>
      </c>
      <c r="H74" s="10"/>
      <c r="I74" s="10"/>
    </row>
    <row r="75" spans="1:9" x14ac:dyDescent="0.25">
      <c r="A75" s="9" t="s">
        <v>180</v>
      </c>
      <c r="B75" s="9" t="s">
        <v>95</v>
      </c>
      <c r="C75" s="10">
        <v>0.35909999999999997</v>
      </c>
      <c r="D75" s="10">
        <v>0.48880000000000001</v>
      </c>
      <c r="H75" s="10"/>
      <c r="I75" s="10"/>
    </row>
    <row r="76" spans="1:9" x14ac:dyDescent="0.25">
      <c r="A76" s="9" t="s">
        <v>180</v>
      </c>
      <c r="B76" s="9" t="s">
        <v>76</v>
      </c>
      <c r="C76" s="10">
        <v>0.48149999999999998</v>
      </c>
      <c r="D76" s="10">
        <v>0.63280000000000003</v>
      </c>
      <c r="H76" s="10"/>
      <c r="I76" s="10"/>
    </row>
    <row r="77" spans="1:9" x14ac:dyDescent="0.25">
      <c r="A77" s="9" t="s">
        <v>180</v>
      </c>
      <c r="B77" s="9" t="s">
        <v>105</v>
      </c>
      <c r="C77" s="10">
        <v>0.28699999999999998</v>
      </c>
      <c r="D77" s="10">
        <v>0.45669999999999999</v>
      </c>
      <c r="H77" s="10"/>
      <c r="I77" s="10"/>
    </row>
    <row r="78" spans="1:9" x14ac:dyDescent="0.25">
      <c r="A78" s="9" t="s">
        <v>180</v>
      </c>
      <c r="B78" s="9" t="s">
        <v>89</v>
      </c>
      <c r="C78" s="10">
        <v>0.22620000000000001</v>
      </c>
      <c r="D78" s="10">
        <v>0.36220000000000002</v>
      </c>
      <c r="H78" s="10"/>
      <c r="I78" s="10"/>
    </row>
    <row r="79" spans="1:9" x14ac:dyDescent="0.25">
      <c r="A79" s="9" t="s">
        <v>180</v>
      </c>
      <c r="B79" s="9" t="s">
        <v>57</v>
      </c>
      <c r="C79" s="10">
        <v>0.56520000000000004</v>
      </c>
      <c r="D79" s="10">
        <v>0.74590000000000001</v>
      </c>
      <c r="H79" s="10"/>
      <c r="I79" s="10"/>
    </row>
    <row r="80" spans="1:9" x14ac:dyDescent="0.25">
      <c r="A80" s="9" t="s">
        <v>180</v>
      </c>
      <c r="B80" s="9" t="s">
        <v>56</v>
      </c>
      <c r="C80" s="10">
        <v>0.52349999999999997</v>
      </c>
      <c r="D80" s="10">
        <v>0.72050000000000003</v>
      </c>
      <c r="H80" s="10"/>
      <c r="I80" s="10"/>
    </row>
    <row r="81" spans="1:9" x14ac:dyDescent="0.25">
      <c r="A81" s="9" t="s">
        <v>180</v>
      </c>
      <c r="B81" s="9" t="s">
        <v>73</v>
      </c>
      <c r="C81" s="10">
        <v>0.56110000000000004</v>
      </c>
      <c r="D81" s="10">
        <v>0.74590000000000001</v>
      </c>
      <c r="H81" s="10"/>
      <c r="I81" s="10"/>
    </row>
    <row r="82" spans="1:9" x14ac:dyDescent="0.25">
      <c r="A82" s="9" t="s">
        <v>180</v>
      </c>
      <c r="B82" s="9" t="s">
        <v>77</v>
      </c>
      <c r="C82" s="10">
        <v>0.32650000000000001</v>
      </c>
      <c r="D82" s="10">
        <v>0.52029999999999998</v>
      </c>
      <c r="H82" s="10"/>
      <c r="I82" s="10"/>
    </row>
    <row r="83" spans="1:9" x14ac:dyDescent="0.25">
      <c r="A83" s="9" t="s">
        <v>180</v>
      </c>
      <c r="B83" s="9" t="s">
        <v>85</v>
      </c>
      <c r="C83" s="10">
        <v>0.44190000000000002</v>
      </c>
      <c r="D83" s="10">
        <v>0.63380000000000003</v>
      </c>
      <c r="H83" s="10"/>
      <c r="I83" s="10"/>
    </row>
    <row r="84" spans="1:9" x14ac:dyDescent="0.25">
      <c r="A84" s="9" t="s">
        <v>180</v>
      </c>
      <c r="B84" s="9" t="s">
        <v>92</v>
      </c>
      <c r="C84" s="10">
        <v>0.439</v>
      </c>
      <c r="D84" s="10">
        <v>0.63139999999999996</v>
      </c>
      <c r="H84" s="10"/>
      <c r="I84" s="10"/>
    </row>
    <row r="85" spans="1:9" x14ac:dyDescent="0.25">
      <c r="A85" s="9" t="s">
        <v>180</v>
      </c>
      <c r="B85" s="9" t="s">
        <v>60</v>
      </c>
      <c r="C85" s="10">
        <v>0.35039999999999999</v>
      </c>
      <c r="D85" s="10">
        <v>0.44850000000000001</v>
      </c>
      <c r="H85" s="10"/>
      <c r="I85" s="10"/>
    </row>
    <row r="86" spans="1:9" x14ac:dyDescent="0.25">
      <c r="A86" s="9" t="s">
        <v>180</v>
      </c>
      <c r="B86" s="9" t="s">
        <v>66</v>
      </c>
      <c r="C86" s="10">
        <v>0.24740000000000001</v>
      </c>
      <c r="D86" s="10">
        <v>0.44629999999999997</v>
      </c>
      <c r="H86" s="10"/>
      <c r="I86" s="10"/>
    </row>
    <row r="87" spans="1:9" x14ac:dyDescent="0.25">
      <c r="A87" s="9" t="s">
        <v>180</v>
      </c>
      <c r="B87" s="9" t="s">
        <v>79</v>
      </c>
      <c r="C87" s="10">
        <v>0.39650000000000002</v>
      </c>
      <c r="D87" s="10">
        <v>0.54090000000000005</v>
      </c>
      <c r="H87" s="10"/>
      <c r="I87" s="10"/>
    </row>
    <row r="88" spans="1:9" x14ac:dyDescent="0.25">
      <c r="A88" s="9" t="s">
        <v>180</v>
      </c>
      <c r="B88" s="9" t="s">
        <v>87</v>
      </c>
      <c r="C88" s="10">
        <v>0.36940000000000001</v>
      </c>
      <c r="D88" s="10">
        <v>0.49840000000000001</v>
      </c>
      <c r="H88" s="10"/>
      <c r="I88" s="10"/>
    </row>
    <row r="89" spans="1:9" x14ac:dyDescent="0.25">
      <c r="A89" s="9" t="s">
        <v>180</v>
      </c>
      <c r="B89" s="9" t="s">
        <v>88</v>
      </c>
      <c r="C89" s="10">
        <v>0.28420000000000001</v>
      </c>
      <c r="D89" s="10">
        <v>0.47210000000000002</v>
      </c>
      <c r="H89" s="10"/>
      <c r="I89" s="10"/>
    </row>
    <row r="90" spans="1:9" x14ac:dyDescent="0.25">
      <c r="A90" s="9" t="s">
        <v>180</v>
      </c>
      <c r="B90" s="9" t="s">
        <v>69</v>
      </c>
      <c r="C90" s="10">
        <v>0.23050000000000001</v>
      </c>
      <c r="D90" s="10">
        <v>0.4113</v>
      </c>
      <c r="H90" s="10"/>
      <c r="I90" s="10"/>
    </row>
    <row r="91" spans="1:9" x14ac:dyDescent="0.25">
      <c r="A91" s="9" t="s">
        <v>180</v>
      </c>
      <c r="B91" s="9" t="s">
        <v>81</v>
      </c>
      <c r="C91" s="10">
        <v>0.37569999999999998</v>
      </c>
      <c r="D91" s="10">
        <v>0.49440000000000001</v>
      </c>
      <c r="H91" s="10"/>
      <c r="I91" s="10"/>
    </row>
    <row r="92" spans="1:9" x14ac:dyDescent="0.25">
      <c r="A92" s="9" t="s">
        <v>180</v>
      </c>
      <c r="B92" s="9" t="s">
        <v>103</v>
      </c>
      <c r="C92" s="10">
        <v>0.38290000000000002</v>
      </c>
      <c r="D92" s="10">
        <v>0.5232</v>
      </c>
      <c r="H92" s="10"/>
      <c r="I92" s="10"/>
    </row>
    <row r="93" spans="1:9" x14ac:dyDescent="0.25">
      <c r="A93" s="9" t="s">
        <v>180</v>
      </c>
      <c r="B93" s="9" t="s">
        <v>71</v>
      </c>
      <c r="C93" s="10">
        <v>0.20119999999999999</v>
      </c>
      <c r="D93" s="10">
        <v>0.33160000000000001</v>
      </c>
      <c r="H93" s="10"/>
      <c r="I93" s="10"/>
    </row>
    <row r="94" spans="1:9" x14ac:dyDescent="0.25">
      <c r="A94" s="9" t="s">
        <v>180</v>
      </c>
      <c r="B94" s="9" t="s">
        <v>58</v>
      </c>
      <c r="C94" s="10">
        <v>0.28210000000000002</v>
      </c>
      <c r="D94" s="10">
        <v>0.46589999999999998</v>
      </c>
      <c r="H94" s="10"/>
      <c r="I94" s="10"/>
    </row>
    <row r="95" spans="1:9" x14ac:dyDescent="0.25">
      <c r="A95" s="9" t="s">
        <v>180</v>
      </c>
      <c r="B95" s="9" t="s">
        <v>83</v>
      </c>
      <c r="C95" s="10">
        <v>0.26650000000000001</v>
      </c>
      <c r="D95" s="10">
        <v>0.46960000000000002</v>
      </c>
      <c r="H95" s="10"/>
      <c r="I95" s="10"/>
    </row>
    <row r="96" spans="1:9" x14ac:dyDescent="0.25">
      <c r="A96" s="9" t="s">
        <v>180</v>
      </c>
      <c r="B96" s="9" t="s">
        <v>61</v>
      </c>
      <c r="C96" s="10">
        <v>0.24379999999999999</v>
      </c>
      <c r="D96" s="10">
        <v>0.43430000000000002</v>
      </c>
      <c r="H96" s="10"/>
      <c r="I96" s="10"/>
    </row>
    <row r="97" spans="1:9" x14ac:dyDescent="0.25">
      <c r="A97" s="9" t="s">
        <v>180</v>
      </c>
      <c r="B97" s="9" t="s">
        <v>65</v>
      </c>
      <c r="C97" s="10">
        <v>0.33679999999999999</v>
      </c>
      <c r="D97" s="10">
        <v>0.41930000000000001</v>
      </c>
      <c r="H97" s="10"/>
      <c r="I97" s="10"/>
    </row>
    <row r="98" spans="1:9" x14ac:dyDescent="0.25">
      <c r="A98" s="9" t="s">
        <v>180</v>
      </c>
      <c r="B98" s="9" t="s">
        <v>111</v>
      </c>
      <c r="C98" s="10">
        <v>0.21540000000000001</v>
      </c>
      <c r="D98" s="10">
        <v>0.32519999999999999</v>
      </c>
      <c r="H98" s="10"/>
      <c r="I98" s="10"/>
    </row>
    <row r="99" spans="1:9" x14ac:dyDescent="0.25">
      <c r="A99" s="9" t="s">
        <v>180</v>
      </c>
      <c r="B99" s="9" t="s">
        <v>104</v>
      </c>
      <c r="C99" s="10">
        <v>0.25290000000000001</v>
      </c>
      <c r="D99" s="10">
        <v>0.4078</v>
      </c>
      <c r="H99" s="10"/>
      <c r="I99" s="10"/>
    </row>
    <row r="100" spans="1:9" x14ac:dyDescent="0.25">
      <c r="A100" s="9" t="s">
        <v>180</v>
      </c>
      <c r="B100" s="9" t="s">
        <v>62</v>
      </c>
      <c r="C100" s="10">
        <v>0.1724</v>
      </c>
      <c r="D100" s="10">
        <v>0.32169999999999999</v>
      </c>
      <c r="H100" s="10"/>
      <c r="I100" s="10"/>
    </row>
    <row r="101" spans="1:9" x14ac:dyDescent="0.25">
      <c r="A101" s="9" t="s">
        <v>180</v>
      </c>
      <c r="B101" s="9" t="s">
        <v>98</v>
      </c>
      <c r="C101" s="10">
        <v>0.17849999999999999</v>
      </c>
      <c r="D101" s="10">
        <v>0.22889999999999999</v>
      </c>
      <c r="H101" s="10"/>
      <c r="I101" s="10"/>
    </row>
    <row r="102" spans="1:9" x14ac:dyDescent="0.25">
      <c r="A102" s="9" t="s">
        <v>180</v>
      </c>
      <c r="B102" s="9" t="s">
        <v>97</v>
      </c>
      <c r="C102" s="10">
        <v>0.29189999999999999</v>
      </c>
      <c r="D102" s="10">
        <v>0.3881</v>
      </c>
      <c r="H102" s="10"/>
      <c r="I102" s="10"/>
    </row>
    <row r="103" spans="1:9" x14ac:dyDescent="0.25">
      <c r="A103" s="9" t="s">
        <v>180</v>
      </c>
      <c r="B103" s="9" t="s">
        <v>112</v>
      </c>
      <c r="C103" s="10">
        <v>0.14560000000000001</v>
      </c>
      <c r="D103" s="10">
        <v>0.24560000000000001</v>
      </c>
      <c r="H103" s="10"/>
      <c r="I103" s="10"/>
    </row>
    <row r="104" spans="1:9" x14ac:dyDescent="0.25">
      <c r="A104" s="9" t="s">
        <v>180</v>
      </c>
      <c r="B104" s="9" t="s">
        <v>113</v>
      </c>
      <c r="C104" s="10">
        <v>0.2339</v>
      </c>
      <c r="D104" s="10">
        <v>0.3387</v>
      </c>
      <c r="H104" s="10"/>
      <c r="I104" s="10"/>
    </row>
    <row r="105" spans="1:9" x14ac:dyDescent="0.25">
      <c r="A105" s="9" t="s">
        <v>180</v>
      </c>
      <c r="B105" s="9" t="s">
        <v>75</v>
      </c>
      <c r="C105" s="10">
        <v>0.52590000000000003</v>
      </c>
      <c r="D105" s="10">
        <v>0.68289999999999995</v>
      </c>
      <c r="H105" s="10"/>
      <c r="I105" s="10"/>
    </row>
    <row r="106" spans="1:9" x14ac:dyDescent="0.25">
      <c r="A106" s="9" t="s">
        <v>180</v>
      </c>
      <c r="B106" s="9" t="s">
        <v>63</v>
      </c>
      <c r="C106" s="10">
        <v>0.26540000000000002</v>
      </c>
      <c r="D106" s="10">
        <v>0.4153</v>
      </c>
      <c r="H106" s="10"/>
      <c r="I106" s="10"/>
    </row>
    <row r="107" spans="1:9" x14ac:dyDescent="0.25">
      <c r="A107" s="9" t="s">
        <v>180</v>
      </c>
      <c r="B107" s="9" t="s">
        <v>108</v>
      </c>
      <c r="C107" s="10">
        <v>0.3347</v>
      </c>
      <c r="D107" s="10">
        <v>0.53549999999999998</v>
      </c>
      <c r="H107" s="10"/>
      <c r="I107" s="10"/>
    </row>
    <row r="108" spans="1:9" x14ac:dyDescent="0.25">
      <c r="A108" s="9" t="s">
        <v>180</v>
      </c>
      <c r="B108" s="9" t="s">
        <v>101</v>
      </c>
      <c r="C108" s="10">
        <v>0.2334</v>
      </c>
      <c r="D108" s="10">
        <v>0.40479999999999999</v>
      </c>
      <c r="H108" s="10"/>
      <c r="I108" s="10"/>
    </row>
    <row r="109" spans="1:9" x14ac:dyDescent="0.25">
      <c r="A109" s="9" t="s">
        <v>180</v>
      </c>
      <c r="B109" s="9" t="s">
        <v>110</v>
      </c>
      <c r="C109" s="10">
        <v>0.24859999999999999</v>
      </c>
      <c r="D109" s="10">
        <v>0.30220000000000002</v>
      </c>
      <c r="H109" s="10"/>
      <c r="I109" s="10"/>
    </row>
    <row r="110" spans="1:9" x14ac:dyDescent="0.25">
      <c r="A110" s="9" t="s">
        <v>180</v>
      </c>
      <c r="B110" s="9" t="s">
        <v>93</v>
      </c>
      <c r="C110" s="10">
        <v>0.23019999999999999</v>
      </c>
      <c r="D110" s="10">
        <v>0.36969999999999997</v>
      </c>
      <c r="H110" s="10"/>
      <c r="I110" s="10"/>
    </row>
    <row r="111" spans="1:9" x14ac:dyDescent="0.25">
      <c r="A111" s="9" t="s">
        <v>180</v>
      </c>
      <c r="B111" s="9" t="s">
        <v>91</v>
      </c>
      <c r="C111" s="10">
        <v>0.35639999999999999</v>
      </c>
      <c r="D111" s="10">
        <v>0.50639999999999996</v>
      </c>
      <c r="H111" s="10"/>
      <c r="I111" s="10"/>
    </row>
    <row r="112" spans="1:9" x14ac:dyDescent="0.25">
      <c r="A112" s="9" t="s">
        <v>180</v>
      </c>
      <c r="B112" s="9" t="s">
        <v>78</v>
      </c>
      <c r="C112" s="10">
        <v>0.36930000000000002</v>
      </c>
      <c r="D112" s="10">
        <v>0.53659999999999997</v>
      </c>
      <c r="H112" s="10"/>
      <c r="I112" s="10"/>
    </row>
    <row r="113" spans="1:9" x14ac:dyDescent="0.25">
      <c r="A113" s="9" t="s">
        <v>180</v>
      </c>
      <c r="B113" s="9" t="s">
        <v>86</v>
      </c>
      <c r="C113" s="10">
        <v>0.38190000000000002</v>
      </c>
      <c r="D113" s="10">
        <v>0.5363</v>
      </c>
      <c r="H113" s="10"/>
      <c r="I113" s="10"/>
    </row>
    <row r="114" spans="1:9" x14ac:dyDescent="0.25">
      <c r="A114" s="9" t="s">
        <v>180</v>
      </c>
      <c r="B114" s="9" t="s">
        <v>67</v>
      </c>
      <c r="C114" s="10">
        <v>0.308</v>
      </c>
      <c r="D114" s="10">
        <v>0.44030000000000002</v>
      </c>
      <c r="H114" s="10"/>
      <c r="I114" s="10"/>
    </row>
    <row r="115" spans="1:9" x14ac:dyDescent="0.25">
      <c r="A115" s="9" t="s">
        <v>212</v>
      </c>
      <c r="B115" s="9" t="s">
        <v>218</v>
      </c>
      <c r="C115" s="10">
        <v>0.26600000000000001</v>
      </c>
      <c r="D115" s="10">
        <v>0.30509999999999998</v>
      </c>
      <c r="H115" s="10"/>
      <c r="I115" s="10"/>
    </row>
    <row r="116" spans="1:9" x14ac:dyDescent="0.25">
      <c r="A116" s="9" t="s">
        <v>212</v>
      </c>
      <c r="B116" s="9" t="s">
        <v>219</v>
      </c>
      <c r="C116" s="10">
        <v>6.5500000000000003E-2</v>
      </c>
      <c r="D116" s="10">
        <v>8.8300000000000003E-2</v>
      </c>
      <c r="H116" s="10"/>
      <c r="I116" s="10"/>
    </row>
    <row r="117" spans="1:9" x14ac:dyDescent="0.25">
      <c r="A117" s="9" t="s">
        <v>212</v>
      </c>
      <c r="B117" s="9" t="s">
        <v>220</v>
      </c>
      <c r="C117" s="10">
        <v>0.3695</v>
      </c>
      <c r="D117" s="10">
        <v>0.505</v>
      </c>
      <c r="H117" s="10"/>
      <c r="I117" s="10"/>
    </row>
    <row r="118" spans="1:9" x14ac:dyDescent="0.25">
      <c r="A118" s="9" t="s">
        <v>212</v>
      </c>
      <c r="B118" s="9" t="s">
        <v>221</v>
      </c>
      <c r="C118" s="10">
        <v>-6.3600000000000004E-2</v>
      </c>
      <c r="D118" s="10">
        <v>6.9999999999999999E-4</v>
      </c>
      <c r="H118" s="10"/>
      <c r="I118" s="10"/>
    </row>
    <row r="119" spans="1:9" x14ac:dyDescent="0.25">
      <c r="A119" s="9" t="s">
        <v>182</v>
      </c>
      <c r="B119" s="9" t="s">
        <v>54</v>
      </c>
      <c r="C119" s="10">
        <v>0.78080000000000005</v>
      </c>
      <c r="D119" s="10">
        <v>0.84670000000000001</v>
      </c>
      <c r="H119" s="10"/>
      <c r="I119" s="10"/>
    </row>
    <row r="120" spans="1:9" x14ac:dyDescent="0.25">
      <c r="A120" s="9" t="s">
        <v>182</v>
      </c>
      <c r="B120" s="9" t="s">
        <v>53</v>
      </c>
      <c r="C120" s="10">
        <v>0.76739999999999997</v>
      </c>
      <c r="D120" s="10">
        <v>0.80330000000000001</v>
      </c>
      <c r="H120" s="10"/>
      <c r="I120" s="10"/>
    </row>
    <row r="121" spans="1:9" x14ac:dyDescent="0.25">
      <c r="A121" s="9" t="s">
        <v>182</v>
      </c>
      <c r="B121" s="9" t="s">
        <v>74</v>
      </c>
      <c r="C121" s="10">
        <v>0.77400000000000002</v>
      </c>
      <c r="D121" s="10">
        <v>0.80489999999999995</v>
      </c>
      <c r="H121" s="10"/>
      <c r="I121" s="10"/>
    </row>
    <row r="122" spans="1:9" x14ac:dyDescent="0.25">
      <c r="A122" s="9" t="s">
        <v>182</v>
      </c>
      <c r="B122" s="9" t="s">
        <v>82</v>
      </c>
      <c r="C122" s="10">
        <v>0.83009999999999995</v>
      </c>
      <c r="D122" s="10">
        <v>0.87270000000000003</v>
      </c>
      <c r="H122" s="10"/>
      <c r="I122" s="10"/>
    </row>
    <row r="123" spans="1:9" x14ac:dyDescent="0.25">
      <c r="A123" s="9" t="s">
        <v>182</v>
      </c>
      <c r="B123" s="9" t="s">
        <v>106</v>
      </c>
      <c r="C123" s="10">
        <v>0.76180000000000003</v>
      </c>
      <c r="D123" s="10">
        <v>0.75209999999999999</v>
      </c>
      <c r="H123" s="10"/>
      <c r="I123" s="10"/>
    </row>
    <row r="124" spans="1:9" x14ac:dyDescent="0.25">
      <c r="A124" s="9" t="s">
        <v>182</v>
      </c>
      <c r="B124" s="9" t="s">
        <v>99</v>
      </c>
      <c r="C124" s="10">
        <v>0.69479999999999997</v>
      </c>
      <c r="D124" s="10">
        <v>0.73780000000000001</v>
      </c>
      <c r="H124" s="10"/>
      <c r="I124" s="10"/>
    </row>
    <row r="125" spans="1:9" x14ac:dyDescent="0.25">
      <c r="A125" s="9" t="s">
        <v>182</v>
      </c>
      <c r="B125" s="9" t="s">
        <v>84</v>
      </c>
      <c r="C125" s="10">
        <v>0.77359999999999995</v>
      </c>
      <c r="D125" s="10">
        <v>0.78949999999999998</v>
      </c>
      <c r="H125" s="10"/>
      <c r="I125" s="10"/>
    </row>
    <row r="126" spans="1:9" x14ac:dyDescent="0.25">
      <c r="A126" s="9" t="s">
        <v>182</v>
      </c>
      <c r="B126" s="9" t="s">
        <v>70</v>
      </c>
      <c r="C126" s="10">
        <v>0.8387</v>
      </c>
      <c r="D126" s="10">
        <v>0.86319999999999997</v>
      </c>
      <c r="H126" s="10"/>
      <c r="I126" s="10"/>
    </row>
    <row r="127" spans="1:9" x14ac:dyDescent="0.25">
      <c r="A127" s="9" t="s">
        <v>182</v>
      </c>
      <c r="B127" s="9" t="s">
        <v>80</v>
      </c>
      <c r="C127" s="10">
        <v>0.82799999999999996</v>
      </c>
      <c r="D127" s="10">
        <v>0.87460000000000004</v>
      </c>
      <c r="H127" s="10"/>
      <c r="I127" s="10"/>
    </row>
    <row r="128" spans="1:9" x14ac:dyDescent="0.25">
      <c r="A128" s="9" t="s">
        <v>182</v>
      </c>
      <c r="B128" s="9" t="s">
        <v>90</v>
      </c>
      <c r="C128" s="10">
        <v>0.79869999999999997</v>
      </c>
      <c r="D128" s="10">
        <v>0.84740000000000004</v>
      </c>
      <c r="H128" s="10"/>
      <c r="I128" s="10"/>
    </row>
    <row r="129" spans="1:9" x14ac:dyDescent="0.25">
      <c r="A129" s="9" t="s">
        <v>182</v>
      </c>
      <c r="B129" s="9" t="s">
        <v>100</v>
      </c>
      <c r="C129" s="10">
        <v>0.74209999999999998</v>
      </c>
      <c r="D129" s="10">
        <v>0.76490000000000002</v>
      </c>
      <c r="H129" s="10"/>
      <c r="I129" s="10"/>
    </row>
    <row r="130" spans="1:9" x14ac:dyDescent="0.25">
      <c r="A130" s="9" t="s">
        <v>182</v>
      </c>
      <c r="B130" s="9" t="s">
        <v>94</v>
      </c>
      <c r="C130" s="10">
        <v>0.73760000000000003</v>
      </c>
      <c r="D130" s="10">
        <v>0.78080000000000005</v>
      </c>
      <c r="H130" s="10"/>
      <c r="I130" s="10"/>
    </row>
    <row r="131" spans="1:9" x14ac:dyDescent="0.25">
      <c r="A131" s="9" t="s">
        <v>182</v>
      </c>
      <c r="B131" s="9" t="s">
        <v>107</v>
      </c>
      <c r="C131" s="10">
        <v>0.59330000000000005</v>
      </c>
      <c r="D131" s="10">
        <v>0.68989999999999996</v>
      </c>
      <c r="H131" s="10"/>
      <c r="I131" s="10"/>
    </row>
    <row r="132" spans="1:9" x14ac:dyDescent="0.25">
      <c r="A132" s="9" t="s">
        <v>182</v>
      </c>
      <c r="B132" s="9" t="s">
        <v>96</v>
      </c>
      <c r="C132" s="10">
        <v>0.749</v>
      </c>
      <c r="D132" s="10">
        <v>0.80089999999999995</v>
      </c>
      <c r="H132" s="10"/>
      <c r="I132" s="10"/>
    </row>
    <row r="133" spans="1:9" x14ac:dyDescent="0.25">
      <c r="A133" s="9" t="s">
        <v>182</v>
      </c>
      <c r="B133" s="9" t="s">
        <v>72</v>
      </c>
      <c r="C133" s="10">
        <v>0.81469999999999998</v>
      </c>
      <c r="D133" s="10">
        <v>0.85940000000000005</v>
      </c>
      <c r="H133" s="10"/>
      <c r="I133" s="10"/>
    </row>
    <row r="134" spans="1:9" x14ac:dyDescent="0.25">
      <c r="A134" s="9" t="s">
        <v>182</v>
      </c>
      <c r="B134" s="9" t="s">
        <v>38</v>
      </c>
      <c r="C134" s="10">
        <v>0.82889999999999997</v>
      </c>
      <c r="D134" s="10">
        <v>0.87</v>
      </c>
      <c r="H134" s="10"/>
      <c r="I134" s="10"/>
    </row>
    <row r="135" spans="1:9" x14ac:dyDescent="0.25">
      <c r="A135" s="9" t="s">
        <v>182</v>
      </c>
      <c r="B135" s="9" t="s">
        <v>102</v>
      </c>
      <c r="C135" s="10">
        <v>0.76849999999999996</v>
      </c>
      <c r="D135" s="10">
        <v>0.75849999999999995</v>
      </c>
      <c r="H135" s="10"/>
      <c r="I135" s="10"/>
    </row>
    <row r="136" spans="1:9" x14ac:dyDescent="0.25">
      <c r="A136" s="9" t="s">
        <v>182</v>
      </c>
      <c r="B136" s="9" t="s">
        <v>64</v>
      </c>
      <c r="C136" s="10">
        <v>0.80579999999999996</v>
      </c>
      <c r="D136" s="10">
        <v>0.84140000000000004</v>
      </c>
      <c r="H136" s="10"/>
      <c r="I136" s="10"/>
    </row>
    <row r="137" spans="1:9" x14ac:dyDescent="0.25">
      <c r="A137" s="9" t="s">
        <v>182</v>
      </c>
      <c r="B137" s="9" t="s">
        <v>59</v>
      </c>
      <c r="C137" s="10">
        <v>0.79290000000000005</v>
      </c>
      <c r="D137" s="10">
        <v>0.83450000000000002</v>
      </c>
      <c r="H137" s="10"/>
      <c r="I137" s="10"/>
    </row>
    <row r="138" spans="1:9" x14ac:dyDescent="0.25">
      <c r="A138" s="9" t="s">
        <v>182</v>
      </c>
      <c r="B138" s="9" t="s">
        <v>55</v>
      </c>
      <c r="C138" s="10">
        <v>0.78469999999999995</v>
      </c>
      <c r="D138" s="10">
        <v>0.81979999999999997</v>
      </c>
      <c r="H138" s="10"/>
      <c r="I138" s="10"/>
    </row>
    <row r="139" spans="1:9" x14ac:dyDescent="0.25">
      <c r="A139" s="9" t="s">
        <v>182</v>
      </c>
      <c r="B139" s="9" t="s">
        <v>68</v>
      </c>
      <c r="C139" s="10">
        <v>0.79830000000000001</v>
      </c>
      <c r="D139" s="10">
        <v>0.85780000000000001</v>
      </c>
      <c r="H139" s="10"/>
      <c r="I139" s="10"/>
    </row>
    <row r="140" spans="1:9" x14ac:dyDescent="0.25">
      <c r="A140" s="9" t="s">
        <v>182</v>
      </c>
      <c r="B140" s="9" t="s">
        <v>95</v>
      </c>
      <c r="C140" s="10">
        <v>0.75819999999999999</v>
      </c>
      <c r="D140" s="10">
        <v>0.80710000000000004</v>
      </c>
      <c r="H140" s="10"/>
      <c r="I140" s="10"/>
    </row>
    <row r="141" spans="1:9" x14ac:dyDescent="0.25">
      <c r="A141" s="9" t="s">
        <v>182</v>
      </c>
      <c r="B141" s="9" t="s">
        <v>76</v>
      </c>
      <c r="C141" s="10">
        <v>0.73519999999999996</v>
      </c>
      <c r="D141" s="10">
        <v>0.77529999999999999</v>
      </c>
      <c r="H141" s="10"/>
      <c r="I141" s="10"/>
    </row>
    <row r="142" spans="1:9" x14ac:dyDescent="0.25">
      <c r="A142" s="9" t="s">
        <v>182</v>
      </c>
      <c r="B142" s="9" t="s">
        <v>105</v>
      </c>
      <c r="C142" s="10">
        <v>0.73019999999999996</v>
      </c>
      <c r="D142" s="10">
        <v>0.748</v>
      </c>
      <c r="H142" s="10"/>
      <c r="I142" s="10"/>
    </row>
    <row r="143" spans="1:9" x14ac:dyDescent="0.25">
      <c r="A143" s="9" t="s">
        <v>182</v>
      </c>
      <c r="B143" s="9" t="s">
        <v>89</v>
      </c>
      <c r="C143" s="10">
        <v>0.77890000000000004</v>
      </c>
      <c r="D143" s="10">
        <v>0.84109999999999996</v>
      </c>
      <c r="H143" s="10"/>
      <c r="I143" s="10"/>
    </row>
    <row r="144" spans="1:9" x14ac:dyDescent="0.25">
      <c r="A144" s="9" t="s">
        <v>182</v>
      </c>
      <c r="B144" s="9" t="s">
        <v>57</v>
      </c>
      <c r="C144" s="10">
        <v>0.80779999999999996</v>
      </c>
      <c r="D144" s="10">
        <v>0.85929999999999995</v>
      </c>
      <c r="H144" s="10"/>
      <c r="I144" s="10"/>
    </row>
    <row r="145" spans="1:9" x14ac:dyDescent="0.25">
      <c r="A145" s="9" t="s">
        <v>182</v>
      </c>
      <c r="B145" s="9" t="s">
        <v>56</v>
      </c>
      <c r="C145" s="10">
        <v>0.79420000000000002</v>
      </c>
      <c r="D145" s="10">
        <v>0.85819999999999996</v>
      </c>
      <c r="H145" s="10"/>
      <c r="I145" s="10"/>
    </row>
    <row r="146" spans="1:9" x14ac:dyDescent="0.25">
      <c r="A146" s="9" t="s">
        <v>182</v>
      </c>
      <c r="B146" s="9" t="s">
        <v>73</v>
      </c>
      <c r="C146" s="10">
        <v>0.78269999999999995</v>
      </c>
      <c r="D146" s="10">
        <v>0.84560000000000002</v>
      </c>
      <c r="H146" s="10"/>
      <c r="I146" s="10"/>
    </row>
    <row r="147" spans="1:9" x14ac:dyDescent="0.25">
      <c r="A147" s="9" t="s">
        <v>182</v>
      </c>
      <c r="B147" s="9" t="s">
        <v>77</v>
      </c>
      <c r="C147" s="10">
        <v>0.71</v>
      </c>
      <c r="D147" s="10">
        <v>0.74280000000000002</v>
      </c>
      <c r="H147" s="10"/>
      <c r="I147" s="10"/>
    </row>
    <row r="148" spans="1:9" x14ac:dyDescent="0.25">
      <c r="A148" s="9" t="s">
        <v>182</v>
      </c>
      <c r="B148" s="9" t="s">
        <v>85</v>
      </c>
      <c r="C148" s="10">
        <v>0.78349999999999997</v>
      </c>
      <c r="D148" s="10">
        <v>0.8579</v>
      </c>
      <c r="H148" s="10"/>
      <c r="I148" s="10"/>
    </row>
    <row r="149" spans="1:9" x14ac:dyDescent="0.25">
      <c r="A149" s="9" t="s">
        <v>182</v>
      </c>
      <c r="B149" s="9" t="s">
        <v>92</v>
      </c>
      <c r="C149" s="10">
        <v>0.77029999999999998</v>
      </c>
      <c r="D149" s="10">
        <v>0.84809999999999997</v>
      </c>
      <c r="H149" s="10"/>
      <c r="I149" s="10"/>
    </row>
    <row r="150" spans="1:9" x14ac:dyDescent="0.25">
      <c r="A150" s="9" t="s">
        <v>182</v>
      </c>
      <c r="B150" s="9" t="s">
        <v>60</v>
      </c>
      <c r="C150" s="10">
        <v>0.74960000000000004</v>
      </c>
      <c r="D150" s="10">
        <v>0.81699999999999995</v>
      </c>
      <c r="H150" s="10"/>
      <c r="I150" s="10"/>
    </row>
    <row r="151" spans="1:9" x14ac:dyDescent="0.25">
      <c r="A151" s="9" t="s">
        <v>182</v>
      </c>
      <c r="B151" s="9" t="s">
        <v>66</v>
      </c>
      <c r="C151" s="10">
        <v>0.76719999999999999</v>
      </c>
      <c r="D151" s="10">
        <v>0.80210000000000004</v>
      </c>
      <c r="H151" s="10"/>
      <c r="I151" s="10"/>
    </row>
    <row r="152" spans="1:9" x14ac:dyDescent="0.25">
      <c r="A152" s="9" t="s">
        <v>182</v>
      </c>
      <c r="B152" s="9" t="s">
        <v>79</v>
      </c>
      <c r="C152" s="10">
        <v>0.77390000000000003</v>
      </c>
      <c r="D152" s="10">
        <v>0.80269999999999997</v>
      </c>
      <c r="H152" s="10"/>
      <c r="I152" s="10"/>
    </row>
    <row r="153" spans="1:9" x14ac:dyDescent="0.25">
      <c r="A153" s="9" t="s">
        <v>182</v>
      </c>
      <c r="B153" s="9" t="s">
        <v>87</v>
      </c>
      <c r="C153" s="10">
        <v>0.69630000000000003</v>
      </c>
      <c r="D153" s="10">
        <v>0.754</v>
      </c>
      <c r="H153" s="10"/>
      <c r="I153" s="10"/>
    </row>
    <row r="154" spans="1:9" x14ac:dyDescent="0.25">
      <c r="A154" s="9" t="s">
        <v>182</v>
      </c>
      <c r="B154" s="9" t="s">
        <v>88</v>
      </c>
      <c r="C154" s="10">
        <v>0.68910000000000005</v>
      </c>
      <c r="D154" s="10">
        <v>0.76080000000000003</v>
      </c>
      <c r="H154" s="10"/>
      <c r="I154" s="10"/>
    </row>
    <row r="155" spans="1:9" x14ac:dyDescent="0.25">
      <c r="A155" s="9" t="s">
        <v>182</v>
      </c>
      <c r="B155" s="9" t="s">
        <v>69</v>
      </c>
      <c r="C155" s="10">
        <v>0.74280000000000002</v>
      </c>
      <c r="D155" s="10">
        <v>0.76990000000000003</v>
      </c>
      <c r="H155" s="10"/>
      <c r="I155" s="10"/>
    </row>
    <row r="156" spans="1:9" x14ac:dyDescent="0.25">
      <c r="A156" s="9" t="s">
        <v>182</v>
      </c>
      <c r="B156" s="9" t="s">
        <v>81</v>
      </c>
      <c r="C156" s="10">
        <v>0.69840000000000002</v>
      </c>
      <c r="D156" s="10">
        <v>0.7107</v>
      </c>
      <c r="H156" s="10"/>
      <c r="I156" s="10"/>
    </row>
    <row r="157" spans="1:9" x14ac:dyDescent="0.25">
      <c r="A157" s="9" t="s">
        <v>182</v>
      </c>
      <c r="B157" s="9" t="s">
        <v>103</v>
      </c>
      <c r="C157" s="10">
        <v>0.74399999999999999</v>
      </c>
      <c r="D157" s="10">
        <v>0.74460000000000004</v>
      </c>
      <c r="H157" s="10"/>
      <c r="I157" s="10"/>
    </row>
    <row r="158" spans="1:9" x14ac:dyDescent="0.25">
      <c r="A158" s="9" t="s">
        <v>182</v>
      </c>
      <c r="B158" s="9" t="s">
        <v>71</v>
      </c>
      <c r="C158" s="10">
        <v>0.75609999999999999</v>
      </c>
      <c r="D158" s="10">
        <v>0.82789999999999997</v>
      </c>
      <c r="H158" s="10"/>
      <c r="I158" s="10"/>
    </row>
    <row r="159" spans="1:9" x14ac:dyDescent="0.25">
      <c r="A159" s="9" t="s">
        <v>182</v>
      </c>
      <c r="B159" s="9" t="s">
        <v>58</v>
      </c>
      <c r="C159" s="10">
        <v>0.7772</v>
      </c>
      <c r="D159" s="10">
        <v>0.85870000000000002</v>
      </c>
      <c r="H159" s="10"/>
      <c r="I159" s="10"/>
    </row>
    <row r="160" spans="1:9" x14ac:dyDescent="0.25">
      <c r="A160" s="9" t="s">
        <v>182</v>
      </c>
      <c r="B160" s="9" t="s">
        <v>83</v>
      </c>
      <c r="C160" s="10">
        <v>0.75739999999999996</v>
      </c>
      <c r="D160" s="10">
        <v>0.82509999999999994</v>
      </c>
      <c r="H160" s="10"/>
      <c r="I160" s="10"/>
    </row>
    <row r="161" spans="1:9" x14ac:dyDescent="0.25">
      <c r="A161" s="9" t="s">
        <v>182</v>
      </c>
      <c r="B161" s="9" t="s">
        <v>61</v>
      </c>
      <c r="C161" s="10">
        <v>0.81889999999999996</v>
      </c>
      <c r="D161" s="10">
        <v>0.88</v>
      </c>
      <c r="H161" s="10"/>
      <c r="I161" s="10"/>
    </row>
    <row r="162" spans="1:9" x14ac:dyDescent="0.25">
      <c r="A162" s="9" t="s">
        <v>182</v>
      </c>
      <c r="B162" s="9" t="s">
        <v>65</v>
      </c>
      <c r="C162" s="10">
        <v>0.79549999999999998</v>
      </c>
      <c r="D162" s="10">
        <v>0.80200000000000005</v>
      </c>
      <c r="H162" s="10"/>
      <c r="I162" s="10"/>
    </row>
    <row r="163" spans="1:9" x14ac:dyDescent="0.25">
      <c r="A163" s="9" t="s">
        <v>182</v>
      </c>
      <c r="B163" s="9" t="s">
        <v>111</v>
      </c>
      <c r="C163" s="10">
        <v>0.49020000000000002</v>
      </c>
      <c r="D163" s="10">
        <v>0.54920000000000002</v>
      </c>
      <c r="H163" s="10"/>
      <c r="I163" s="10"/>
    </row>
    <row r="164" spans="1:9" x14ac:dyDescent="0.25">
      <c r="A164" s="9" t="s">
        <v>182</v>
      </c>
      <c r="B164" s="9" t="s">
        <v>104</v>
      </c>
      <c r="C164" s="10">
        <v>0.6764</v>
      </c>
      <c r="D164" s="10">
        <v>0.73009999999999997</v>
      </c>
      <c r="H164" s="10"/>
      <c r="I164" s="10"/>
    </row>
    <row r="165" spans="1:9" x14ac:dyDescent="0.25">
      <c r="A165" s="9" t="s">
        <v>182</v>
      </c>
      <c r="B165" s="9" t="s">
        <v>62</v>
      </c>
      <c r="C165" s="10">
        <v>0.80710000000000004</v>
      </c>
      <c r="D165" s="10">
        <v>0.87639999999999996</v>
      </c>
      <c r="H165" s="10"/>
      <c r="I165" s="10"/>
    </row>
    <row r="166" spans="1:9" x14ac:dyDescent="0.25">
      <c r="A166" s="9" t="s">
        <v>182</v>
      </c>
      <c r="B166" s="9" t="s">
        <v>98</v>
      </c>
      <c r="C166" s="10">
        <v>0.77059999999999995</v>
      </c>
      <c r="D166" s="10">
        <v>0.81879999999999997</v>
      </c>
      <c r="H166" s="10"/>
      <c r="I166" s="10"/>
    </row>
    <row r="167" spans="1:9" x14ac:dyDescent="0.25">
      <c r="A167" s="9" t="s">
        <v>182</v>
      </c>
      <c r="B167" s="9" t="s">
        <v>97</v>
      </c>
      <c r="C167" s="10">
        <v>0.68920000000000003</v>
      </c>
      <c r="D167" s="10">
        <v>0.71489999999999998</v>
      </c>
      <c r="H167" s="10"/>
      <c r="I167" s="10"/>
    </row>
    <row r="168" spans="1:9" x14ac:dyDescent="0.25">
      <c r="A168" s="9" t="s">
        <v>182</v>
      </c>
      <c r="B168" s="9" t="s">
        <v>112</v>
      </c>
      <c r="C168" s="10">
        <v>0.50249999999999995</v>
      </c>
      <c r="D168" s="10">
        <v>0.50339999999999996</v>
      </c>
      <c r="H168" s="10"/>
      <c r="I168" s="10"/>
    </row>
    <row r="169" spans="1:9" x14ac:dyDescent="0.25">
      <c r="A169" s="9" t="s">
        <v>182</v>
      </c>
      <c r="B169" s="9" t="s">
        <v>113</v>
      </c>
      <c r="C169" s="10">
        <v>0.61829999999999996</v>
      </c>
      <c r="D169" s="10">
        <v>0.58309999999999995</v>
      </c>
      <c r="H169" s="10"/>
      <c r="I169" s="10"/>
    </row>
    <row r="170" spans="1:9" x14ac:dyDescent="0.25">
      <c r="A170" s="9" t="s">
        <v>182</v>
      </c>
      <c r="B170" s="9" t="s">
        <v>75</v>
      </c>
      <c r="C170" s="10">
        <v>0.79190000000000005</v>
      </c>
      <c r="D170" s="10">
        <v>0.85419999999999996</v>
      </c>
      <c r="H170" s="10"/>
      <c r="I170" s="10"/>
    </row>
    <row r="171" spans="1:9" x14ac:dyDescent="0.25">
      <c r="A171" s="9" t="s">
        <v>182</v>
      </c>
      <c r="B171" s="9" t="s">
        <v>63</v>
      </c>
      <c r="C171" s="10">
        <v>0.68240000000000001</v>
      </c>
      <c r="D171" s="10">
        <v>0.73380000000000001</v>
      </c>
      <c r="H171" s="10"/>
      <c r="I171" s="10"/>
    </row>
    <row r="172" spans="1:9" x14ac:dyDescent="0.25">
      <c r="A172" s="9" t="s">
        <v>182</v>
      </c>
      <c r="B172" s="9" t="s">
        <v>108</v>
      </c>
      <c r="C172" s="10">
        <v>0.63790000000000002</v>
      </c>
      <c r="D172" s="10">
        <v>0.68869999999999998</v>
      </c>
      <c r="H172" s="10"/>
      <c r="I172" s="10"/>
    </row>
    <row r="173" spans="1:9" x14ac:dyDescent="0.25">
      <c r="A173" s="9" t="s">
        <v>182</v>
      </c>
      <c r="B173" s="9" t="s">
        <v>101</v>
      </c>
      <c r="C173" s="10">
        <v>0.51529999999999998</v>
      </c>
      <c r="D173" s="10">
        <v>0.58220000000000005</v>
      </c>
      <c r="H173" s="10"/>
      <c r="I173" s="10"/>
    </row>
    <row r="174" spans="1:9" x14ac:dyDescent="0.25">
      <c r="A174" s="9" t="s">
        <v>182</v>
      </c>
      <c r="B174" s="9" t="s">
        <v>110</v>
      </c>
      <c r="C174" s="10">
        <v>0.66949999999999998</v>
      </c>
      <c r="D174" s="10">
        <v>0.60040000000000004</v>
      </c>
      <c r="H174" s="10"/>
      <c r="I174" s="10"/>
    </row>
    <row r="175" spans="1:9" x14ac:dyDescent="0.25">
      <c r="A175" s="9" t="s">
        <v>182</v>
      </c>
      <c r="B175" s="9" t="s">
        <v>93</v>
      </c>
      <c r="C175" s="10">
        <v>0.73640000000000005</v>
      </c>
      <c r="D175" s="10">
        <v>0.79169999999999996</v>
      </c>
      <c r="H175" s="10"/>
      <c r="I175" s="10"/>
    </row>
    <row r="176" spans="1:9" x14ac:dyDescent="0.25">
      <c r="A176" s="9" t="s">
        <v>182</v>
      </c>
      <c r="B176" s="9" t="s">
        <v>91</v>
      </c>
      <c r="C176" s="10">
        <v>0.74790000000000001</v>
      </c>
      <c r="D176" s="10">
        <v>0.77959999999999996</v>
      </c>
      <c r="H176" s="10"/>
      <c r="I176" s="10"/>
    </row>
    <row r="177" spans="1:9" x14ac:dyDescent="0.25">
      <c r="A177" s="9" t="s">
        <v>182</v>
      </c>
      <c r="B177" s="9" t="s">
        <v>78</v>
      </c>
      <c r="C177" s="10">
        <v>0.7873</v>
      </c>
      <c r="D177" s="10">
        <v>0.86350000000000005</v>
      </c>
      <c r="H177" s="10"/>
      <c r="I177" s="10"/>
    </row>
    <row r="178" spans="1:9" x14ac:dyDescent="0.25">
      <c r="A178" s="9" t="s">
        <v>182</v>
      </c>
      <c r="B178" s="9" t="s">
        <v>86</v>
      </c>
      <c r="C178" s="10">
        <v>0.78559999999999997</v>
      </c>
      <c r="D178" s="10">
        <v>0.85770000000000002</v>
      </c>
      <c r="H178" s="10"/>
      <c r="I178" s="10"/>
    </row>
    <row r="179" spans="1:9" x14ac:dyDescent="0.25">
      <c r="A179" s="9" t="s">
        <v>182</v>
      </c>
      <c r="B179" s="9" t="s">
        <v>67</v>
      </c>
      <c r="C179" s="10">
        <v>0.77080000000000004</v>
      </c>
      <c r="D179" s="10">
        <v>0.83699999999999997</v>
      </c>
      <c r="H179" s="10"/>
      <c r="I179" s="10"/>
    </row>
    <row r="180" spans="1:9" x14ac:dyDescent="0.25">
      <c r="A180" s="9" t="s">
        <v>181</v>
      </c>
      <c r="B180" s="9" t="s">
        <v>54</v>
      </c>
      <c r="C180" s="10">
        <v>-2.4799999999999999E-2</v>
      </c>
      <c r="D180" s="10"/>
      <c r="H180" s="10"/>
      <c r="I180" s="10"/>
    </row>
    <row r="181" spans="1:9" x14ac:dyDescent="0.25">
      <c r="A181" s="9" t="s">
        <v>181</v>
      </c>
      <c r="B181" s="9" t="s">
        <v>53</v>
      </c>
      <c r="C181" s="10">
        <v>0.64529999999999998</v>
      </c>
      <c r="D181" s="10">
        <v>0.35170000000000001</v>
      </c>
      <c r="H181" s="10"/>
      <c r="I181" s="10"/>
    </row>
    <row r="182" spans="1:9" x14ac:dyDescent="0.25">
      <c r="A182" s="9" t="s">
        <v>181</v>
      </c>
      <c r="B182" s="9" t="s">
        <v>74</v>
      </c>
      <c r="C182" s="10">
        <v>0.67530000000000001</v>
      </c>
      <c r="D182" s="10">
        <v>0.50980000000000003</v>
      </c>
      <c r="H182" s="10"/>
      <c r="I182" s="10"/>
    </row>
    <row r="183" spans="1:9" x14ac:dyDescent="0.25">
      <c r="A183" s="9" t="s">
        <v>181</v>
      </c>
      <c r="B183" s="9" t="s">
        <v>82</v>
      </c>
      <c r="C183" s="10">
        <v>-6.3E-3</v>
      </c>
      <c r="D183" s="10"/>
      <c r="H183" s="10"/>
      <c r="I183" s="10"/>
    </row>
    <row r="184" spans="1:9" x14ac:dyDescent="0.25">
      <c r="A184" s="9" t="s">
        <v>181</v>
      </c>
      <c r="B184" s="9" t="s">
        <v>106</v>
      </c>
      <c r="C184" s="10">
        <v>-7.4000000000000003E-3</v>
      </c>
      <c r="D184" s="10"/>
      <c r="H184" s="10"/>
      <c r="I184" s="10"/>
    </row>
    <row r="185" spans="1:9" x14ac:dyDescent="0.25">
      <c r="A185" s="9" t="s">
        <v>181</v>
      </c>
      <c r="B185" s="9" t="s">
        <v>99</v>
      </c>
      <c r="C185" s="10">
        <v>-9.5100000000000004E-2</v>
      </c>
      <c r="D185" s="10"/>
      <c r="H185" s="10"/>
      <c r="I185" s="10"/>
    </row>
    <row r="186" spans="1:9" x14ac:dyDescent="0.25">
      <c r="A186" s="9" t="s">
        <v>181</v>
      </c>
      <c r="B186" s="9" t="s">
        <v>84</v>
      </c>
      <c r="C186" s="10">
        <v>0.65349999999999997</v>
      </c>
      <c r="D186" s="10">
        <v>0.56069999999999998</v>
      </c>
      <c r="H186" s="10"/>
      <c r="I186" s="10"/>
    </row>
    <row r="187" spans="1:9" x14ac:dyDescent="0.25">
      <c r="A187" s="9" t="s">
        <v>181</v>
      </c>
      <c r="B187" s="9" t="s">
        <v>70</v>
      </c>
      <c r="C187" s="10">
        <v>0.69720000000000004</v>
      </c>
      <c r="D187" s="10">
        <v>0.5847</v>
      </c>
      <c r="H187" s="10"/>
      <c r="I187" s="10"/>
    </row>
    <row r="188" spans="1:9" x14ac:dyDescent="0.25">
      <c r="A188" s="9" t="s">
        <v>181</v>
      </c>
      <c r="B188" s="9" t="s">
        <v>80</v>
      </c>
      <c r="C188" s="10">
        <v>-8.1900000000000001E-2</v>
      </c>
      <c r="D188" s="10"/>
      <c r="H188" s="10"/>
      <c r="I188" s="10"/>
    </row>
    <row r="189" spans="1:9" x14ac:dyDescent="0.25">
      <c r="A189" s="9" t="s">
        <v>181</v>
      </c>
      <c r="B189" s="9" t="s">
        <v>90</v>
      </c>
      <c r="C189" s="10">
        <v>-9.2799999999999994E-2</v>
      </c>
      <c r="D189" s="10"/>
      <c r="H189" s="10"/>
      <c r="I189" s="10"/>
    </row>
    <row r="190" spans="1:9" x14ac:dyDescent="0.25">
      <c r="A190" s="9" t="s">
        <v>181</v>
      </c>
      <c r="B190" s="9" t="s">
        <v>100</v>
      </c>
      <c r="C190" s="10">
        <v>0.60670000000000002</v>
      </c>
      <c r="D190" s="10">
        <v>0.497</v>
      </c>
      <c r="H190" s="10"/>
      <c r="I190" s="10"/>
    </row>
    <row r="191" spans="1:9" x14ac:dyDescent="0.25">
      <c r="A191" s="9" t="s">
        <v>181</v>
      </c>
      <c r="B191" s="9" t="s">
        <v>94</v>
      </c>
      <c r="C191" s="10">
        <v>-1.3899999999999999E-2</v>
      </c>
      <c r="D191" s="10"/>
      <c r="H191" s="10"/>
      <c r="I191" s="10"/>
    </row>
    <row r="192" spans="1:9" x14ac:dyDescent="0.25">
      <c r="A192" s="9" t="s">
        <v>181</v>
      </c>
      <c r="B192" s="9" t="s">
        <v>107</v>
      </c>
      <c r="C192" s="10">
        <v>0.4879</v>
      </c>
      <c r="D192" s="10">
        <v>0.44379999999999997</v>
      </c>
      <c r="H192" s="10"/>
      <c r="I192" s="10"/>
    </row>
    <row r="193" spans="1:9" x14ac:dyDescent="0.25">
      <c r="A193" s="9" t="s">
        <v>181</v>
      </c>
      <c r="B193" s="9" t="s">
        <v>96</v>
      </c>
      <c r="C193" s="10">
        <v>0.6613</v>
      </c>
      <c r="D193" s="10">
        <v>0.55689999999999995</v>
      </c>
      <c r="H193" s="10"/>
      <c r="I193" s="10"/>
    </row>
    <row r="194" spans="1:9" x14ac:dyDescent="0.25">
      <c r="A194" s="9" t="s">
        <v>181</v>
      </c>
      <c r="B194" s="9" t="s">
        <v>72</v>
      </c>
      <c r="C194" s="10">
        <v>0.77170000000000005</v>
      </c>
      <c r="D194" s="10">
        <v>0.67859999999999998</v>
      </c>
      <c r="H194" s="10"/>
      <c r="I194" s="10"/>
    </row>
    <row r="195" spans="1:9" x14ac:dyDescent="0.25">
      <c r="A195" s="9" t="s">
        <v>181</v>
      </c>
      <c r="B195" s="9" t="s">
        <v>38</v>
      </c>
      <c r="C195" s="10">
        <v>0.67230000000000001</v>
      </c>
      <c r="D195" s="10">
        <v>0.55089999999999995</v>
      </c>
      <c r="H195" s="10"/>
      <c r="I195" s="10"/>
    </row>
    <row r="196" spans="1:9" x14ac:dyDescent="0.25">
      <c r="A196" s="9" t="s">
        <v>181</v>
      </c>
      <c r="B196" s="9" t="s">
        <v>102</v>
      </c>
      <c r="C196" s="9">
        <v>-1.46E-2</v>
      </c>
      <c r="D196" s="9"/>
      <c r="H196" s="10"/>
      <c r="I196" s="10"/>
    </row>
    <row r="197" spans="1:9" x14ac:dyDescent="0.25">
      <c r="A197" s="9" t="s">
        <v>181</v>
      </c>
      <c r="B197" s="9" t="s">
        <v>64</v>
      </c>
      <c r="C197" s="10">
        <v>-6.1999999999999998E-3</v>
      </c>
      <c r="D197" s="10"/>
      <c r="H197" s="10"/>
      <c r="I197" s="10"/>
    </row>
    <row r="198" spans="1:9" x14ac:dyDescent="0.25">
      <c r="A198" s="9" t="s">
        <v>181</v>
      </c>
      <c r="B198" s="9" t="s">
        <v>59</v>
      </c>
      <c r="C198" s="10">
        <v>0.7248</v>
      </c>
      <c r="D198" s="10">
        <v>0.58640000000000003</v>
      </c>
      <c r="H198" s="10"/>
      <c r="I198" s="10"/>
    </row>
    <row r="199" spans="1:9" x14ac:dyDescent="0.25">
      <c r="A199" s="9" t="s">
        <v>181</v>
      </c>
      <c r="B199" s="9" t="s">
        <v>55</v>
      </c>
      <c r="C199" s="9">
        <v>0.69669999999999999</v>
      </c>
      <c r="D199" s="9">
        <v>0.53349999999999997</v>
      </c>
      <c r="H199" s="10"/>
      <c r="I199" s="10"/>
    </row>
    <row r="200" spans="1:9" x14ac:dyDescent="0.25">
      <c r="A200" s="9" t="s">
        <v>181</v>
      </c>
      <c r="B200" s="9" t="s">
        <v>68</v>
      </c>
      <c r="C200" s="9">
        <v>0.77239999999999998</v>
      </c>
      <c r="D200" s="9">
        <v>0.68820000000000003</v>
      </c>
      <c r="H200" s="10"/>
      <c r="I200" s="10"/>
    </row>
    <row r="201" spans="1:9" x14ac:dyDescent="0.25">
      <c r="A201" s="9" t="s">
        <v>181</v>
      </c>
      <c r="B201" s="9" t="s">
        <v>95</v>
      </c>
      <c r="C201" s="9">
        <v>0.74170000000000003</v>
      </c>
      <c r="D201" s="9">
        <v>0.68059999999999998</v>
      </c>
      <c r="H201" s="10"/>
      <c r="I201" s="10"/>
    </row>
    <row r="202" spans="1:9" x14ac:dyDescent="0.25">
      <c r="A202" s="9" t="s">
        <v>181</v>
      </c>
      <c r="B202" s="9" t="s">
        <v>76</v>
      </c>
      <c r="C202" s="10">
        <v>0.7359</v>
      </c>
      <c r="D202" s="10">
        <v>0.64159999999999995</v>
      </c>
      <c r="H202" s="10"/>
      <c r="I202" s="10"/>
    </row>
    <row r="203" spans="1:9" x14ac:dyDescent="0.25">
      <c r="A203" s="9" t="s">
        <v>181</v>
      </c>
      <c r="B203" s="9" t="s">
        <v>105</v>
      </c>
      <c r="C203" s="10">
        <v>0.59399999999999997</v>
      </c>
      <c r="D203" s="10">
        <v>0.47570000000000001</v>
      </c>
      <c r="H203" s="10"/>
      <c r="I203" s="10"/>
    </row>
    <row r="204" spans="1:9" x14ac:dyDescent="0.25">
      <c r="A204" s="9" t="s">
        <v>181</v>
      </c>
      <c r="B204" s="9" t="s">
        <v>89</v>
      </c>
      <c r="C204" s="9">
        <v>0.69489999999999996</v>
      </c>
      <c r="D204" s="9">
        <v>0.57869999999999999</v>
      </c>
      <c r="H204" s="10"/>
      <c r="I204" s="10"/>
    </row>
    <row r="205" spans="1:9" x14ac:dyDescent="0.25">
      <c r="A205" s="9" t="s">
        <v>181</v>
      </c>
      <c r="B205" s="9" t="s">
        <v>57</v>
      </c>
      <c r="C205" s="9">
        <v>0.73680000000000001</v>
      </c>
      <c r="D205" s="9">
        <v>0.63480000000000003</v>
      </c>
      <c r="H205" s="10"/>
      <c r="I205" s="10"/>
    </row>
    <row r="206" spans="1:9" x14ac:dyDescent="0.25">
      <c r="A206" s="9" t="s">
        <v>181</v>
      </c>
      <c r="B206" s="9" t="s">
        <v>56</v>
      </c>
      <c r="C206" s="10">
        <v>0.7379</v>
      </c>
      <c r="D206" s="10">
        <v>0.64929999999999999</v>
      </c>
      <c r="H206" s="10"/>
      <c r="I206" s="10"/>
    </row>
    <row r="207" spans="1:9" x14ac:dyDescent="0.25">
      <c r="A207" s="9" t="s">
        <v>181</v>
      </c>
      <c r="B207" s="9" t="s">
        <v>73</v>
      </c>
      <c r="C207" s="9">
        <v>0.75180000000000002</v>
      </c>
      <c r="D207" s="9">
        <v>0.65169999999999995</v>
      </c>
      <c r="H207" s="10"/>
      <c r="I207" s="10"/>
    </row>
    <row r="208" spans="1:9" x14ac:dyDescent="0.25">
      <c r="A208" s="9" t="s">
        <v>181</v>
      </c>
      <c r="B208" s="9" t="s">
        <v>77</v>
      </c>
      <c r="C208" s="10">
        <v>0.67900000000000005</v>
      </c>
      <c r="D208" s="10">
        <v>0.67569999999999997</v>
      </c>
      <c r="H208" s="10"/>
      <c r="I208" s="10"/>
    </row>
    <row r="209" spans="1:9" x14ac:dyDescent="0.25">
      <c r="A209" s="9" t="s">
        <v>181</v>
      </c>
      <c r="B209" s="9" t="s">
        <v>85</v>
      </c>
      <c r="C209" s="10">
        <v>0.73619999999999997</v>
      </c>
      <c r="D209" s="10">
        <v>0.66510000000000002</v>
      </c>
      <c r="H209" s="10"/>
      <c r="I209" s="10"/>
    </row>
    <row r="210" spans="1:9" x14ac:dyDescent="0.25">
      <c r="A210" s="9" t="s">
        <v>181</v>
      </c>
      <c r="B210" s="9" t="s">
        <v>92</v>
      </c>
      <c r="C210" s="10">
        <v>0.72770000000000001</v>
      </c>
      <c r="D210" s="10">
        <v>0.66739999999999999</v>
      </c>
      <c r="H210" s="10"/>
      <c r="I210" s="10"/>
    </row>
    <row r="211" spans="1:9" x14ac:dyDescent="0.25">
      <c r="A211" s="9" t="s">
        <v>181</v>
      </c>
      <c r="B211" s="9" t="s">
        <v>60</v>
      </c>
      <c r="C211" s="10">
        <v>0.60550000000000004</v>
      </c>
      <c r="D211" s="10">
        <v>0.41789999999999999</v>
      </c>
      <c r="H211" s="10"/>
      <c r="I211" s="10"/>
    </row>
    <row r="212" spans="1:9" x14ac:dyDescent="0.25">
      <c r="A212" s="9" t="s">
        <v>181</v>
      </c>
      <c r="B212" s="9" t="s">
        <v>66</v>
      </c>
      <c r="C212" s="9">
        <v>0.67679999999999996</v>
      </c>
      <c r="D212" s="9">
        <v>0.57950000000000002</v>
      </c>
      <c r="H212" s="10"/>
      <c r="I212" s="10"/>
    </row>
    <row r="213" spans="1:9" x14ac:dyDescent="0.25">
      <c r="A213" s="9" t="s">
        <v>181</v>
      </c>
      <c r="B213" s="9" t="s">
        <v>79</v>
      </c>
      <c r="C213" s="9">
        <v>0.71189999999999998</v>
      </c>
      <c r="D213" s="9">
        <v>0.55989999999999995</v>
      </c>
      <c r="H213" s="10"/>
      <c r="I213" s="10"/>
    </row>
    <row r="214" spans="1:9" x14ac:dyDescent="0.25">
      <c r="A214" s="9" t="s">
        <v>181</v>
      </c>
      <c r="B214" s="9" t="s">
        <v>87</v>
      </c>
      <c r="C214" s="10">
        <v>-1.0699999999999999E-2</v>
      </c>
      <c r="D214" s="10"/>
      <c r="H214" s="10"/>
      <c r="I214" s="10"/>
    </row>
    <row r="215" spans="1:9" x14ac:dyDescent="0.25">
      <c r="A215" s="9" t="s">
        <v>181</v>
      </c>
      <c r="B215" s="9" t="s">
        <v>88</v>
      </c>
      <c r="C215" s="10">
        <v>-6.7999999999999996E-3</v>
      </c>
      <c r="D215" s="10"/>
      <c r="H215" s="10"/>
      <c r="I215" s="10"/>
    </row>
    <row r="216" spans="1:9" x14ac:dyDescent="0.25">
      <c r="A216" s="9" t="s">
        <v>181</v>
      </c>
      <c r="B216" s="9" t="s">
        <v>69</v>
      </c>
      <c r="C216" s="10">
        <v>0.65569999999999995</v>
      </c>
      <c r="D216" s="10">
        <v>0.59299999999999997</v>
      </c>
      <c r="H216" s="10"/>
      <c r="I216" s="10"/>
    </row>
    <row r="217" spans="1:9" x14ac:dyDescent="0.25">
      <c r="A217" s="9" t="s">
        <v>181</v>
      </c>
      <c r="B217" s="9" t="s">
        <v>81</v>
      </c>
      <c r="C217" s="10">
        <v>0.6673</v>
      </c>
      <c r="D217" s="10">
        <v>0.63039999999999996</v>
      </c>
      <c r="H217" s="10"/>
      <c r="I217" s="10"/>
    </row>
    <row r="218" spans="1:9" x14ac:dyDescent="0.25">
      <c r="A218" s="9" t="s">
        <v>181</v>
      </c>
      <c r="B218" s="9" t="s">
        <v>103</v>
      </c>
      <c r="C218" s="10">
        <v>-8.0999999999999996E-3</v>
      </c>
      <c r="D218" s="10"/>
      <c r="H218" s="10"/>
      <c r="I218" s="10"/>
    </row>
    <row r="219" spans="1:9" x14ac:dyDescent="0.25">
      <c r="A219" s="9" t="s">
        <v>181</v>
      </c>
      <c r="B219" s="9" t="s">
        <v>71</v>
      </c>
      <c r="C219" s="10">
        <v>0.74219999999999997</v>
      </c>
      <c r="D219" s="10">
        <v>0.65600000000000003</v>
      </c>
      <c r="H219" s="10"/>
      <c r="I219" s="10"/>
    </row>
    <row r="220" spans="1:9" x14ac:dyDescent="0.25">
      <c r="A220" s="9" t="s">
        <v>181</v>
      </c>
      <c r="B220" s="9" t="s">
        <v>58</v>
      </c>
      <c r="C220" s="10">
        <v>-0.21110000000000001</v>
      </c>
      <c r="D220" s="10"/>
      <c r="H220" s="10"/>
      <c r="I220" s="10"/>
    </row>
    <row r="221" spans="1:9" x14ac:dyDescent="0.25">
      <c r="A221" s="9" t="s">
        <v>181</v>
      </c>
      <c r="B221" s="9" t="s">
        <v>83</v>
      </c>
      <c r="C221" s="10">
        <v>-0.19639999999999999</v>
      </c>
      <c r="D221" s="10"/>
      <c r="H221" s="10"/>
      <c r="I221" s="10"/>
    </row>
    <row r="222" spans="1:9" x14ac:dyDescent="0.25">
      <c r="A222" s="9" t="s">
        <v>181</v>
      </c>
      <c r="B222" s="9" t="s">
        <v>61</v>
      </c>
      <c r="C222" s="10">
        <v>-2.4500000000000001E-2</v>
      </c>
      <c r="D222" s="10"/>
      <c r="H222" s="10"/>
      <c r="I222" s="10"/>
    </row>
    <row r="223" spans="1:9" x14ac:dyDescent="0.25">
      <c r="A223" s="9" t="s">
        <v>181</v>
      </c>
      <c r="B223" s="9" t="s">
        <v>65</v>
      </c>
      <c r="C223" s="10">
        <v>-7.3000000000000001E-3</v>
      </c>
      <c r="D223" s="10"/>
      <c r="H223" s="10"/>
      <c r="I223" s="10"/>
    </row>
    <row r="224" spans="1:9" x14ac:dyDescent="0.25">
      <c r="A224" s="9" t="s">
        <v>181</v>
      </c>
      <c r="B224" s="9" t="s">
        <v>111</v>
      </c>
      <c r="C224" s="10">
        <v>0.40279999999999999</v>
      </c>
      <c r="D224" s="10">
        <v>0.36430000000000001</v>
      </c>
      <c r="H224" s="10"/>
      <c r="I224" s="10"/>
    </row>
    <row r="225" spans="1:9" x14ac:dyDescent="0.25">
      <c r="A225" s="9" t="s">
        <v>181</v>
      </c>
      <c r="B225" s="9" t="s">
        <v>104</v>
      </c>
      <c r="C225" s="10">
        <v>-1.32E-2</v>
      </c>
      <c r="D225" s="10"/>
      <c r="H225" s="10"/>
      <c r="I225" s="10"/>
    </row>
    <row r="226" spans="1:9" x14ac:dyDescent="0.25">
      <c r="A226" s="9" t="s">
        <v>181</v>
      </c>
      <c r="B226" s="9" t="s">
        <v>62</v>
      </c>
      <c r="C226" s="10">
        <v>0.71650000000000003</v>
      </c>
      <c r="D226" s="10">
        <v>0.60960000000000003</v>
      </c>
      <c r="H226" s="10"/>
      <c r="I226" s="10"/>
    </row>
    <row r="227" spans="1:9" x14ac:dyDescent="0.25">
      <c r="A227" s="9" t="s">
        <v>181</v>
      </c>
      <c r="B227" s="9" t="s">
        <v>98</v>
      </c>
      <c r="C227" s="10">
        <v>0.69910000000000005</v>
      </c>
      <c r="D227" s="10">
        <v>0.5927</v>
      </c>
      <c r="H227" s="10"/>
      <c r="I227" s="10"/>
    </row>
    <row r="228" spans="1:9" x14ac:dyDescent="0.25">
      <c r="A228" s="9" t="s">
        <v>181</v>
      </c>
      <c r="B228" s="9" t="s">
        <v>97</v>
      </c>
      <c r="C228" s="10">
        <v>0.65480000000000005</v>
      </c>
      <c r="D228" s="10">
        <v>0.62229999999999996</v>
      </c>
      <c r="H228" s="10"/>
      <c r="I228" s="10"/>
    </row>
    <row r="229" spans="1:9" x14ac:dyDescent="0.25">
      <c r="A229" s="9" t="s">
        <v>181</v>
      </c>
      <c r="B229" s="9" t="s">
        <v>112</v>
      </c>
      <c r="C229" s="10">
        <v>-7.0699999999999999E-2</v>
      </c>
      <c r="D229" s="10"/>
      <c r="H229" s="10"/>
      <c r="I229" s="10"/>
    </row>
    <row r="230" spans="1:9" x14ac:dyDescent="0.25">
      <c r="A230" s="9" t="s">
        <v>181</v>
      </c>
      <c r="B230" s="9" t="s">
        <v>113</v>
      </c>
      <c r="C230" s="9">
        <v>0.60470000000000002</v>
      </c>
      <c r="D230" s="9">
        <v>0.4521</v>
      </c>
      <c r="H230" s="10"/>
      <c r="I230" s="10"/>
    </row>
    <row r="231" spans="1:9" x14ac:dyDescent="0.25">
      <c r="A231" s="9" t="s">
        <v>181</v>
      </c>
      <c r="B231" s="9" t="s">
        <v>75</v>
      </c>
      <c r="C231" s="9">
        <v>0.73570000000000002</v>
      </c>
      <c r="D231" s="9">
        <v>0.59360000000000002</v>
      </c>
      <c r="H231" s="10"/>
      <c r="I231" s="10"/>
    </row>
    <row r="232" spans="1:9" x14ac:dyDescent="0.25">
      <c r="A232" s="9" t="s">
        <v>181</v>
      </c>
      <c r="B232" s="9" t="s">
        <v>63</v>
      </c>
      <c r="C232" s="10">
        <v>-9.1000000000000004E-3</v>
      </c>
      <c r="D232" s="10"/>
      <c r="H232" s="10"/>
      <c r="I232" s="10"/>
    </row>
    <row r="233" spans="1:9" x14ac:dyDescent="0.25">
      <c r="A233" s="9" t="s">
        <v>181</v>
      </c>
      <c r="B233" s="9" t="s">
        <v>108</v>
      </c>
      <c r="C233" s="10">
        <v>-0.12620000000000001</v>
      </c>
      <c r="D233" s="10">
        <v>-0.12959999999999999</v>
      </c>
      <c r="H233" s="10"/>
      <c r="I233" s="10"/>
    </row>
    <row r="234" spans="1:9" x14ac:dyDescent="0.25">
      <c r="A234" s="9" t="s">
        <v>181</v>
      </c>
      <c r="B234" s="9" t="s">
        <v>101</v>
      </c>
      <c r="C234" s="9">
        <v>-0.128</v>
      </c>
      <c r="D234" s="9"/>
      <c r="H234" s="10"/>
      <c r="I234" s="10"/>
    </row>
    <row r="235" spans="1:9" x14ac:dyDescent="0.25">
      <c r="A235" s="9" t="s">
        <v>181</v>
      </c>
      <c r="B235" s="9" t="s">
        <v>110</v>
      </c>
      <c r="C235" s="10">
        <v>0.65190000000000003</v>
      </c>
      <c r="D235" s="10">
        <v>0.52249999999999996</v>
      </c>
      <c r="H235" s="10"/>
      <c r="I235" s="10"/>
    </row>
    <row r="236" spans="1:9" x14ac:dyDescent="0.25">
      <c r="A236" s="9" t="s">
        <v>181</v>
      </c>
      <c r="B236" s="9" t="s">
        <v>93</v>
      </c>
      <c r="C236" s="9">
        <v>-0.14960000000000001</v>
      </c>
      <c r="D236" s="9">
        <v>0.1404</v>
      </c>
      <c r="H236" s="10"/>
      <c r="I236" s="10"/>
    </row>
    <row r="237" spans="1:9" x14ac:dyDescent="0.25">
      <c r="A237" s="9" t="s">
        <v>181</v>
      </c>
      <c r="B237" s="9" t="s">
        <v>91</v>
      </c>
      <c r="C237" s="9">
        <v>-3.5400000000000001E-2</v>
      </c>
      <c r="D237" s="9"/>
      <c r="H237" s="10"/>
      <c r="I237" s="10"/>
    </row>
    <row r="238" spans="1:9" x14ac:dyDescent="0.25">
      <c r="A238" s="9" t="s">
        <v>181</v>
      </c>
      <c r="B238" s="9" t="s">
        <v>78</v>
      </c>
      <c r="C238" s="9">
        <v>-8.5000000000000006E-3</v>
      </c>
      <c r="D238" s="9"/>
      <c r="H238" s="10"/>
      <c r="I238" s="10"/>
    </row>
    <row r="239" spans="1:9" x14ac:dyDescent="0.25">
      <c r="A239" s="9" t="s">
        <v>181</v>
      </c>
      <c r="B239" s="9" t="s">
        <v>86</v>
      </c>
      <c r="C239" s="9">
        <v>0.74929999999999997</v>
      </c>
      <c r="D239" s="9">
        <v>0.68179999999999996</v>
      </c>
      <c r="H239" s="10"/>
      <c r="I239" s="10"/>
    </row>
    <row r="240" spans="1:9" x14ac:dyDescent="0.25">
      <c r="A240" s="9" t="s">
        <v>181</v>
      </c>
      <c r="B240" s="9" t="s">
        <v>67</v>
      </c>
      <c r="C240" s="10">
        <v>-8.0000000000000004E-4</v>
      </c>
      <c r="D240" s="10"/>
      <c r="H240" s="10"/>
      <c r="I240" s="10"/>
    </row>
    <row r="241" spans="1:9" x14ac:dyDescent="0.25">
      <c r="A241" s="9"/>
      <c r="B241" s="9"/>
      <c r="C241" s="9"/>
      <c r="D241" s="9"/>
      <c r="H241" s="10"/>
      <c r="I241" s="10"/>
    </row>
    <row r="242" spans="1:9" x14ac:dyDescent="0.25">
      <c r="A242" s="9"/>
      <c r="B242" s="9"/>
      <c r="C242" s="10"/>
      <c r="D242" s="10"/>
      <c r="H242" s="10"/>
      <c r="I242" s="10"/>
    </row>
    <row r="243" spans="1:9" x14ac:dyDescent="0.25">
      <c r="A243" s="9"/>
      <c r="B243" s="9"/>
      <c r="C243" s="10"/>
      <c r="D243" s="10"/>
      <c r="H243" s="10"/>
      <c r="I243" s="10"/>
    </row>
    <row r="244" spans="1:9" x14ac:dyDescent="0.25">
      <c r="A244" s="9" t="s">
        <v>181</v>
      </c>
      <c r="B244" s="9" t="s">
        <v>108</v>
      </c>
      <c r="C244" s="10">
        <v>-0.12620000000000001</v>
      </c>
      <c r="D244" s="10">
        <v>-0.12959999999999999</v>
      </c>
      <c r="H244" s="10"/>
      <c r="I244" s="10"/>
    </row>
    <row r="245" spans="1:9" x14ac:dyDescent="0.25">
      <c r="A245" s="9" t="s">
        <v>181</v>
      </c>
      <c r="B245" s="9" t="s">
        <v>101</v>
      </c>
      <c r="C245" s="9">
        <v>-0.128</v>
      </c>
      <c r="D245" s="9"/>
      <c r="H245" s="10"/>
      <c r="I245" s="10"/>
    </row>
    <row r="246" spans="1:9" x14ac:dyDescent="0.25">
      <c r="A246" s="9" t="s">
        <v>181</v>
      </c>
      <c r="B246" s="9" t="s">
        <v>110</v>
      </c>
      <c r="C246" s="10">
        <v>0.65190000000000003</v>
      </c>
      <c r="D246" s="10">
        <v>0.52249999999999996</v>
      </c>
      <c r="H246" s="10"/>
      <c r="I246" s="10"/>
    </row>
    <row r="247" spans="1:9" x14ac:dyDescent="0.25">
      <c r="A247" s="9" t="s">
        <v>181</v>
      </c>
      <c r="B247" s="9" t="s">
        <v>93</v>
      </c>
      <c r="C247" s="10">
        <v>-0.14960000000000001</v>
      </c>
      <c r="D247" s="10">
        <v>0.1404</v>
      </c>
      <c r="H247" s="10"/>
      <c r="I247" s="10"/>
    </row>
    <row r="248" spans="1:9" x14ac:dyDescent="0.25">
      <c r="A248" s="9" t="s">
        <v>181</v>
      </c>
      <c r="B248" s="9" t="s">
        <v>91</v>
      </c>
      <c r="C248" s="9">
        <v>-3.5400000000000001E-2</v>
      </c>
      <c r="D248" s="9"/>
      <c r="H248" s="10"/>
      <c r="I248" s="10"/>
    </row>
    <row r="249" spans="1:9" x14ac:dyDescent="0.25">
      <c r="A249" s="9" t="s">
        <v>181</v>
      </c>
      <c r="B249" s="9" t="s">
        <v>78</v>
      </c>
      <c r="C249" s="9">
        <v>-8.5000000000000006E-3</v>
      </c>
      <c r="D249" s="9"/>
      <c r="H249" s="10"/>
      <c r="I249" s="10"/>
    </row>
    <row r="250" spans="1:9" x14ac:dyDescent="0.25">
      <c r="A250" s="9" t="s">
        <v>181</v>
      </c>
      <c r="B250" s="9" t="s">
        <v>86</v>
      </c>
      <c r="C250" s="9">
        <v>0.74929999999999997</v>
      </c>
      <c r="D250" s="9">
        <v>0.68179999999999996</v>
      </c>
      <c r="H250" s="10"/>
      <c r="I250" s="10"/>
    </row>
    <row r="251" spans="1:9" x14ac:dyDescent="0.25">
      <c r="A251" s="9" t="s">
        <v>181</v>
      </c>
      <c r="B251" s="9" t="s">
        <v>67</v>
      </c>
      <c r="C251" s="10">
        <v>-8.0000000000000004E-4</v>
      </c>
      <c r="D251" s="10"/>
      <c r="H251" s="10"/>
      <c r="I251" s="10"/>
    </row>
    <row r="252" spans="1:9" x14ac:dyDescent="0.25">
      <c r="A252" s="9"/>
      <c r="B252" s="9"/>
      <c r="C252" s="9"/>
      <c r="D252" s="10"/>
      <c r="H252" s="10"/>
      <c r="I252" s="10"/>
    </row>
    <row r="253" spans="1:9" x14ac:dyDescent="0.25">
      <c r="A253" s="8" t="s">
        <v>232</v>
      </c>
      <c r="B253" s="9"/>
      <c r="C253" s="9"/>
      <c r="D253" s="9"/>
      <c r="H253" s="10"/>
      <c r="I253" s="10"/>
    </row>
    <row r="254" spans="1:9" x14ac:dyDescent="0.25">
      <c r="A254" s="9"/>
      <c r="B254" s="9"/>
      <c r="C254" s="9"/>
      <c r="D254" s="9"/>
      <c r="H254" s="10"/>
      <c r="I254" s="10"/>
    </row>
    <row r="255" spans="1:9" x14ac:dyDescent="0.25">
      <c r="A255" s="9"/>
      <c r="B255" s="9"/>
      <c r="C255" s="10"/>
      <c r="D255" s="10"/>
      <c r="H255" s="10"/>
      <c r="I255" s="10"/>
    </row>
    <row r="256" spans="1:9" x14ac:dyDescent="0.25">
      <c r="A256" s="9"/>
      <c r="B256" s="9"/>
      <c r="C256" s="9"/>
      <c r="D256" s="9"/>
      <c r="H256" s="10"/>
      <c r="I256" s="10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7D32-8CF7-4BD9-AE94-A2183AC12379}">
  <dimension ref="A1:F10"/>
  <sheetViews>
    <sheetView tabSelected="1" workbookViewId="0">
      <selection activeCell="C15" sqref="C15"/>
    </sheetView>
  </sheetViews>
  <sheetFormatPr defaultRowHeight="14.4" x14ac:dyDescent="0.25"/>
  <cols>
    <col min="1" max="1" width="19.44140625" customWidth="1"/>
    <col min="2" max="5" width="38.88671875" customWidth="1"/>
  </cols>
  <sheetData>
    <row r="1" spans="1:6" ht="15.6" x14ac:dyDescent="0.25">
      <c r="A1" s="13" t="s">
        <v>238</v>
      </c>
    </row>
    <row r="3" spans="1:6" x14ac:dyDescent="0.25">
      <c r="A3" s="16" t="s">
        <v>222</v>
      </c>
      <c r="B3" s="16" t="s">
        <v>244</v>
      </c>
      <c r="C3" s="16" t="s">
        <v>245</v>
      </c>
      <c r="D3" s="16" t="s">
        <v>246</v>
      </c>
      <c r="E3" s="16" t="s">
        <v>247</v>
      </c>
      <c r="F3" s="16"/>
    </row>
    <row r="4" spans="1:6" x14ac:dyDescent="0.25">
      <c r="A4" s="9" t="s">
        <v>206</v>
      </c>
      <c r="B4" s="10">
        <v>0.77969999999999995</v>
      </c>
      <c r="C4" s="10">
        <v>0.83909999999999996</v>
      </c>
      <c r="D4" s="8">
        <v>0.80710000000000004</v>
      </c>
      <c r="E4" s="8">
        <v>0.83740000000000003</v>
      </c>
      <c r="F4" s="8"/>
    </row>
    <row r="5" spans="1:6" x14ac:dyDescent="0.25">
      <c r="A5" s="8" t="s">
        <v>180</v>
      </c>
      <c r="B5" s="10">
        <v>0.51070000000000004</v>
      </c>
      <c r="C5" s="10">
        <v>0.55700000000000005</v>
      </c>
      <c r="D5" s="8">
        <v>0.438</v>
      </c>
      <c r="E5" s="8">
        <v>0.43769999999999998</v>
      </c>
      <c r="F5" s="8"/>
    </row>
    <row r="6" spans="1:6" x14ac:dyDescent="0.25">
      <c r="A6" s="8" t="s">
        <v>212</v>
      </c>
      <c r="B6" s="10">
        <v>0.1477</v>
      </c>
      <c r="C6" s="10">
        <v>0.1835</v>
      </c>
      <c r="D6" s="8">
        <v>0.18179999999999999</v>
      </c>
      <c r="E6" s="8">
        <v>0.22270000000000001</v>
      </c>
      <c r="F6" s="8"/>
    </row>
    <row r="7" spans="1:6" x14ac:dyDescent="0.25">
      <c r="A7" s="8" t="s">
        <v>182</v>
      </c>
      <c r="B7" s="10">
        <v>0.65959999999999996</v>
      </c>
      <c r="C7" s="10">
        <v>0.69399999999999995</v>
      </c>
      <c r="D7" s="8">
        <v>0.70220000000000005</v>
      </c>
      <c r="E7" s="8">
        <v>0.72589999999999999</v>
      </c>
      <c r="F7" s="8"/>
    </row>
    <row r="8" spans="1:6" x14ac:dyDescent="0.25">
      <c r="A8" s="8" t="s">
        <v>181</v>
      </c>
      <c r="B8" s="10">
        <v>1.2999999999999999E-3</v>
      </c>
      <c r="C8" s="10">
        <v>1.2200000000000001E-2</v>
      </c>
      <c r="D8" s="8">
        <v>2.8299999999999999E-2</v>
      </c>
      <c r="E8" s="8">
        <v>3.2500000000000001E-2</v>
      </c>
      <c r="F8" s="8"/>
    </row>
    <row r="10" spans="1:6" x14ac:dyDescent="0.25">
      <c r="A10" s="8" t="s">
        <v>232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84F37-B3B3-4DF0-B689-CA1C9A8390A0}">
  <dimension ref="A1:G5"/>
  <sheetViews>
    <sheetView workbookViewId="0"/>
  </sheetViews>
  <sheetFormatPr defaultRowHeight="14.4" x14ac:dyDescent="0.25"/>
  <cols>
    <col min="1" max="7" width="27" customWidth="1"/>
  </cols>
  <sheetData>
    <row r="1" spans="1:7" ht="15.6" x14ac:dyDescent="0.25">
      <c r="A1" s="13" t="s">
        <v>239</v>
      </c>
      <c r="B1" s="13"/>
      <c r="C1" s="13"/>
    </row>
    <row r="3" spans="1:7" s="19" customFormat="1" x14ac:dyDescent="0.25">
      <c r="A3" s="16" t="s">
        <v>199</v>
      </c>
      <c r="B3" s="16" t="s">
        <v>231</v>
      </c>
      <c r="C3" s="16" t="s">
        <v>227</v>
      </c>
      <c r="D3" s="16" t="s">
        <v>200</v>
      </c>
      <c r="E3" s="16" t="s">
        <v>201</v>
      </c>
      <c r="F3" s="16" t="s">
        <v>202</v>
      </c>
      <c r="G3" s="16" t="s">
        <v>203</v>
      </c>
    </row>
    <row r="4" spans="1:7" x14ac:dyDescent="0.25">
      <c r="A4" s="8" t="s">
        <v>204</v>
      </c>
      <c r="B4" s="8">
        <v>116</v>
      </c>
      <c r="C4" s="8">
        <v>96</v>
      </c>
      <c r="D4" s="8">
        <v>0.81359999999999999</v>
      </c>
      <c r="E4" s="8">
        <v>0.81</v>
      </c>
      <c r="F4" s="8">
        <v>0.82050000000000001</v>
      </c>
      <c r="G4" s="8">
        <v>0.69569999999999999</v>
      </c>
    </row>
    <row r="5" spans="1:7" x14ac:dyDescent="0.25">
      <c r="A5" s="8" t="s">
        <v>205</v>
      </c>
      <c r="B5" s="8">
        <v>58</v>
      </c>
      <c r="C5" s="8">
        <v>58</v>
      </c>
      <c r="D5" s="8">
        <v>0.49149999999999999</v>
      </c>
      <c r="E5" s="8">
        <v>1</v>
      </c>
      <c r="F5" s="8">
        <v>0.65910000000000002</v>
      </c>
      <c r="G5" s="8">
        <v>0.49149999999999999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/>
  </sheetViews>
  <sheetFormatPr defaultColWidth="9" defaultRowHeight="15.6" x14ac:dyDescent="0.25"/>
  <cols>
    <col min="1" max="1" width="26.109375" style="5" customWidth="1"/>
    <col min="2" max="2" width="20.109375" style="5" customWidth="1"/>
    <col min="3" max="3" width="17" style="5" customWidth="1"/>
    <col min="4" max="4" width="29.109375" style="2" customWidth="1"/>
    <col min="5" max="16384" width="9" style="2"/>
  </cols>
  <sheetData>
    <row r="1" spans="1:4" x14ac:dyDescent="0.25">
      <c r="A1" s="13" t="s">
        <v>240</v>
      </c>
    </row>
    <row r="3" spans="1:4" s="17" customFormat="1" x14ac:dyDescent="0.25">
      <c r="A3" s="13" t="s">
        <v>0</v>
      </c>
      <c r="B3" s="13" t="s">
        <v>46</v>
      </c>
      <c r="C3" s="13" t="s">
        <v>47</v>
      </c>
      <c r="D3" s="17" t="s">
        <v>114</v>
      </c>
    </row>
    <row r="4" spans="1:4" x14ac:dyDescent="0.25">
      <c r="A4" s="5" t="s">
        <v>1</v>
      </c>
      <c r="B4" s="5">
        <v>26665</v>
      </c>
      <c r="C4" s="5">
        <v>0.41578955575306792</v>
      </c>
      <c r="D4" s="2" t="s">
        <v>121</v>
      </c>
    </row>
    <row r="5" spans="1:4" x14ac:dyDescent="0.25">
      <c r="A5" s="5" t="s">
        <v>2</v>
      </c>
      <c r="B5" s="5">
        <v>7743</v>
      </c>
      <c r="C5" s="5">
        <v>0.12073724095991019</v>
      </c>
      <c r="D5" s="2" t="s">
        <v>122</v>
      </c>
    </row>
    <row r="6" spans="1:4" x14ac:dyDescent="0.25">
      <c r="A6" s="5" t="s">
        <v>3</v>
      </c>
      <c r="B6" s="5">
        <v>7431</v>
      </c>
      <c r="C6" s="5">
        <v>0.11587219909248257</v>
      </c>
      <c r="D6" s="2" t="s">
        <v>122</v>
      </c>
    </row>
    <row r="7" spans="1:4" x14ac:dyDescent="0.25">
      <c r="A7" s="5" t="s">
        <v>4</v>
      </c>
      <c r="B7" s="5">
        <v>5697</v>
      </c>
      <c r="C7" s="5">
        <v>8.8833793329279126E-2</v>
      </c>
      <c r="D7" s="2" t="s">
        <v>121</v>
      </c>
    </row>
    <row r="8" spans="1:4" x14ac:dyDescent="0.25">
      <c r="A8" s="5" t="s">
        <v>5</v>
      </c>
      <c r="B8" s="5">
        <v>3911</v>
      </c>
      <c r="C8" s="5">
        <v>6.0984547254837755E-2</v>
      </c>
      <c r="D8" s="2" t="s">
        <v>120</v>
      </c>
    </row>
    <row r="9" spans="1:4" x14ac:dyDescent="0.25">
      <c r="A9" s="5" t="s">
        <v>6</v>
      </c>
      <c r="B9" s="5">
        <v>2190</v>
      </c>
      <c r="C9" s="5">
        <v>3.4148851569443792E-2</v>
      </c>
      <c r="D9" s="2" t="s">
        <v>123</v>
      </c>
    </row>
    <row r="10" spans="1:4" x14ac:dyDescent="0.25">
      <c r="A10" s="5" t="s">
        <v>7</v>
      </c>
      <c r="B10" s="5">
        <v>1862</v>
      </c>
      <c r="C10" s="5">
        <v>2.9034320375481436E-2</v>
      </c>
      <c r="D10" s="2" t="s">
        <v>123</v>
      </c>
    </row>
    <row r="11" spans="1:4" x14ac:dyDescent="0.25">
      <c r="A11" s="5" t="s">
        <v>8</v>
      </c>
      <c r="B11" s="5">
        <v>1406</v>
      </c>
      <c r="C11" s="5">
        <v>2.1923874569241084E-2</v>
      </c>
      <c r="D11" s="2" t="s">
        <v>121</v>
      </c>
    </row>
    <row r="12" spans="1:4" x14ac:dyDescent="0.25">
      <c r="A12" s="5" t="s">
        <v>9</v>
      </c>
      <c r="B12" s="5">
        <v>1329</v>
      </c>
      <c r="C12" s="5">
        <v>2.0723207185292605E-2</v>
      </c>
      <c r="D12" s="2" t="s">
        <v>120</v>
      </c>
    </row>
    <row r="13" spans="1:4" x14ac:dyDescent="0.25">
      <c r="A13" s="5" t="s">
        <v>10</v>
      </c>
      <c r="B13" s="5">
        <v>952</v>
      </c>
      <c r="C13" s="5">
        <v>1.4844614928817576E-2</v>
      </c>
      <c r="D13" s="2" t="s">
        <v>121</v>
      </c>
    </row>
    <row r="14" spans="1:4" x14ac:dyDescent="0.25">
      <c r="A14" s="5" t="s">
        <v>11</v>
      </c>
      <c r="B14" s="5">
        <v>719</v>
      </c>
      <c r="C14" s="5">
        <v>1.1211426611155291E-2</v>
      </c>
      <c r="D14" s="2" t="s">
        <v>123</v>
      </c>
    </row>
    <row r="15" spans="1:4" x14ac:dyDescent="0.25">
      <c r="A15" s="5" t="s">
        <v>12</v>
      </c>
      <c r="B15" s="5">
        <v>700</v>
      </c>
      <c r="C15" s="5">
        <v>1.0915158035895278E-2</v>
      </c>
      <c r="D15" s="2" t="s">
        <v>120</v>
      </c>
    </row>
    <row r="16" spans="1:4" x14ac:dyDescent="0.25">
      <c r="A16" s="5" t="s">
        <v>13</v>
      </c>
      <c r="B16" s="5">
        <v>651</v>
      </c>
      <c r="C16" s="5">
        <v>1.0151096973382607E-2</v>
      </c>
      <c r="D16" s="2" t="s">
        <v>123</v>
      </c>
    </row>
    <row r="17" spans="1:4" x14ac:dyDescent="0.25">
      <c r="A17" s="5" t="s">
        <v>14</v>
      </c>
      <c r="B17" s="5">
        <v>640</v>
      </c>
      <c r="C17" s="5">
        <v>9.979573061389968E-3</v>
      </c>
      <c r="D17" s="2" t="s">
        <v>122</v>
      </c>
    </row>
    <row r="18" spans="1:4" x14ac:dyDescent="0.25">
      <c r="A18" s="5" t="s">
        <v>15</v>
      </c>
      <c r="B18" s="5">
        <v>543</v>
      </c>
      <c r="C18" s="5">
        <v>8.4670440192730501E-3</v>
      </c>
      <c r="D18" s="2" t="s">
        <v>121</v>
      </c>
    </row>
    <row r="19" spans="1:4" x14ac:dyDescent="0.25">
      <c r="A19" s="5" t="s">
        <v>16</v>
      </c>
      <c r="B19" s="5">
        <v>499</v>
      </c>
      <c r="C19" s="5">
        <v>7.7809483713024898E-3</v>
      </c>
      <c r="D19" s="2" t="s">
        <v>121</v>
      </c>
    </row>
    <row r="20" spans="1:4" x14ac:dyDescent="0.25">
      <c r="A20" s="5" t="s">
        <v>17</v>
      </c>
      <c r="B20" s="5">
        <v>433</v>
      </c>
      <c r="C20" s="5">
        <v>6.7518048993466502E-3</v>
      </c>
      <c r="D20" s="2" t="s">
        <v>123</v>
      </c>
    </row>
    <row r="21" spans="1:4" x14ac:dyDescent="0.25">
      <c r="A21" s="5" t="s">
        <v>18</v>
      </c>
      <c r="B21" s="5">
        <v>312</v>
      </c>
      <c r="C21" s="5">
        <v>4.8650418674276094E-3</v>
      </c>
      <c r="D21" s="2" t="s">
        <v>122</v>
      </c>
    </row>
    <row r="22" spans="1:4" x14ac:dyDescent="0.25">
      <c r="A22" s="5" t="s">
        <v>19</v>
      </c>
      <c r="B22" s="5">
        <v>272</v>
      </c>
      <c r="C22" s="5">
        <v>4.2413185510907364E-3</v>
      </c>
      <c r="D22" s="2" t="s">
        <v>121</v>
      </c>
    </row>
    <row r="23" spans="1:4" x14ac:dyDescent="0.25">
      <c r="A23" s="5" t="s">
        <v>20</v>
      </c>
      <c r="B23" s="5">
        <v>107</v>
      </c>
      <c r="C23" s="5">
        <v>1.6684598712011353E-3</v>
      </c>
      <c r="D23" s="2" t="s">
        <v>121</v>
      </c>
    </row>
    <row r="24" spans="1:4" x14ac:dyDescent="0.25">
      <c r="A24" s="5" t="s">
        <v>21</v>
      </c>
      <c r="B24" s="5">
        <v>56</v>
      </c>
      <c r="C24" s="5">
        <v>8.732126428716222E-4</v>
      </c>
      <c r="D24" s="2" t="s">
        <v>120</v>
      </c>
    </row>
    <row r="25" spans="1:4" x14ac:dyDescent="0.25">
      <c r="A25" s="5" t="s">
        <v>22</v>
      </c>
      <c r="B25" s="5">
        <v>13</v>
      </c>
      <c r="C25" s="5">
        <v>2.0271007780948373E-4</v>
      </c>
      <c r="D25" s="2" t="s">
        <v>120</v>
      </c>
    </row>
    <row r="27" spans="1:4" x14ac:dyDescent="0.25">
      <c r="A27" s="5" t="s">
        <v>52</v>
      </c>
      <c r="B27" s="5">
        <f>SUM(B4:B25)</f>
        <v>64131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workbookViewId="0"/>
  </sheetViews>
  <sheetFormatPr defaultColWidth="9" defaultRowHeight="14.4" x14ac:dyDescent="0.25"/>
  <cols>
    <col min="1" max="1" width="14.77734375" customWidth="1"/>
    <col min="2" max="2" width="37.33203125" customWidth="1"/>
    <col min="3" max="3" width="19.88671875" customWidth="1"/>
    <col min="4" max="4" width="16.21875" customWidth="1"/>
    <col min="5" max="5" width="18.109375" customWidth="1"/>
  </cols>
  <sheetData>
    <row r="1" spans="1:8" ht="15.6" x14ac:dyDescent="0.25">
      <c r="A1" s="13" t="s">
        <v>241</v>
      </c>
    </row>
    <row r="3" spans="1:8" s="19" customFormat="1" ht="15.6" x14ac:dyDescent="0.25">
      <c r="A3" s="17" t="s">
        <v>0</v>
      </c>
      <c r="B3" s="17" t="s">
        <v>124</v>
      </c>
      <c r="C3" s="17" t="s">
        <v>46</v>
      </c>
      <c r="D3" s="17" t="s">
        <v>47</v>
      </c>
      <c r="E3" s="17" t="s">
        <v>114</v>
      </c>
      <c r="F3" s="17"/>
      <c r="G3" s="17"/>
      <c r="H3" s="17"/>
    </row>
    <row r="4" spans="1:8" ht="15.6" x14ac:dyDescent="0.25">
      <c r="A4" s="6" t="s">
        <v>23</v>
      </c>
      <c r="B4" s="6" t="s">
        <v>134</v>
      </c>
      <c r="C4" s="7">
        <v>34751</v>
      </c>
      <c r="D4" s="2">
        <v>0.55261191063051607</v>
      </c>
      <c r="E4" s="2" t="s">
        <v>135</v>
      </c>
      <c r="F4" s="2"/>
      <c r="G4" s="2"/>
      <c r="H4" s="2"/>
    </row>
    <row r="5" spans="1:8" ht="15.6" x14ac:dyDescent="0.25">
      <c r="A5" s="6" t="s">
        <v>24</v>
      </c>
      <c r="B5" s="6" t="s">
        <v>132</v>
      </c>
      <c r="C5" s="7">
        <v>4846</v>
      </c>
      <c r="D5" s="2">
        <v>7.7061302377355492E-2</v>
      </c>
      <c r="E5" s="2" t="s">
        <v>135</v>
      </c>
      <c r="F5" s="2"/>
      <c r="G5" s="2"/>
      <c r="H5" s="2"/>
    </row>
    <row r="6" spans="1:8" ht="15.6" x14ac:dyDescent="0.25">
      <c r="A6" s="6" t="s">
        <v>25</v>
      </c>
      <c r="B6" s="6" t="s">
        <v>141</v>
      </c>
      <c r="C6" s="7">
        <v>4286</v>
      </c>
      <c r="D6" s="2">
        <v>6.815615806631152E-2</v>
      </c>
      <c r="E6" s="2" t="s">
        <v>143</v>
      </c>
      <c r="F6" s="2"/>
      <c r="G6" s="2"/>
      <c r="H6" s="2"/>
    </row>
    <row r="7" spans="1:8" ht="15.6" x14ac:dyDescent="0.25">
      <c r="A7" s="6" t="s">
        <v>26</v>
      </c>
      <c r="B7" s="6" t="s">
        <v>145</v>
      </c>
      <c r="C7" s="7">
        <v>2744</v>
      </c>
      <c r="D7" s="2">
        <v>4.3635207124115449E-2</v>
      </c>
      <c r="E7" s="2" t="s">
        <v>137</v>
      </c>
      <c r="F7" s="2"/>
      <c r="G7" s="2"/>
      <c r="H7" s="2"/>
    </row>
    <row r="8" spans="1:8" ht="15.6" x14ac:dyDescent="0.25">
      <c r="A8" s="6" t="s">
        <v>27</v>
      </c>
      <c r="B8" s="6" t="s">
        <v>133</v>
      </c>
      <c r="C8" s="7">
        <v>2558</v>
      </c>
      <c r="D8" s="2">
        <v>4.0677427049375846E-2</v>
      </c>
      <c r="E8" s="2" t="s">
        <v>135</v>
      </c>
      <c r="F8" s="2"/>
      <c r="G8" s="2"/>
      <c r="H8" s="2"/>
    </row>
    <row r="9" spans="1:8" ht="15.6" x14ac:dyDescent="0.25">
      <c r="A9" s="6" t="s">
        <v>28</v>
      </c>
      <c r="B9" s="6" t="s">
        <v>136</v>
      </c>
      <c r="C9" s="7">
        <v>2255</v>
      </c>
      <c r="D9" s="2">
        <v>3.5859107895364555E-2</v>
      </c>
      <c r="E9" s="2" t="s">
        <v>137</v>
      </c>
      <c r="F9" s="2"/>
      <c r="G9" s="2"/>
      <c r="H9" s="2"/>
    </row>
    <row r="10" spans="1:8" ht="15.6" x14ac:dyDescent="0.25">
      <c r="A10" s="6" t="s">
        <v>29</v>
      </c>
      <c r="B10" s="6" t="s">
        <v>139</v>
      </c>
      <c r="C10" s="7">
        <v>2255</v>
      </c>
      <c r="D10" s="2">
        <v>3.5859107895364555E-2</v>
      </c>
      <c r="E10" s="2" t="s">
        <v>140</v>
      </c>
      <c r="F10" s="2"/>
      <c r="G10" s="2"/>
      <c r="H10" s="2"/>
    </row>
    <row r="11" spans="1:8" ht="15.6" x14ac:dyDescent="0.25">
      <c r="A11" s="6" t="s">
        <v>30</v>
      </c>
      <c r="B11" s="6" t="s">
        <v>146</v>
      </c>
      <c r="C11" s="7">
        <v>1921</v>
      </c>
      <c r="D11" s="2">
        <v>3.0547825395563329E-2</v>
      </c>
      <c r="E11" s="2" t="s">
        <v>137</v>
      </c>
      <c r="F11" s="2"/>
      <c r="G11" s="2"/>
      <c r="H11" s="2"/>
    </row>
    <row r="12" spans="1:8" ht="15.6" x14ac:dyDescent="0.25">
      <c r="A12" s="6" t="s">
        <v>31</v>
      </c>
      <c r="B12" s="6" t="s">
        <v>130</v>
      </c>
      <c r="C12" s="7">
        <v>1756</v>
      </c>
      <c r="D12" s="2">
        <v>2.7923988232487873E-2</v>
      </c>
      <c r="E12" s="2" t="s">
        <v>128</v>
      </c>
      <c r="F12" s="2"/>
      <c r="G12" s="2"/>
      <c r="H12" s="2"/>
    </row>
    <row r="13" spans="1:8" ht="15.6" x14ac:dyDescent="0.25">
      <c r="A13" s="6" t="s">
        <v>32</v>
      </c>
      <c r="B13" s="6" t="s">
        <v>138</v>
      </c>
      <c r="C13" s="7">
        <v>1303</v>
      </c>
      <c r="D13" s="2">
        <v>2.0720362566589805E-2</v>
      </c>
      <c r="E13" s="2" t="s">
        <v>140</v>
      </c>
      <c r="F13" s="2"/>
      <c r="G13" s="2"/>
      <c r="H13" s="2"/>
    </row>
    <row r="14" spans="1:8" ht="15.6" x14ac:dyDescent="0.25">
      <c r="A14" s="6" t="s">
        <v>33</v>
      </c>
      <c r="B14" s="6" t="s">
        <v>126</v>
      </c>
      <c r="C14" s="7">
        <v>924</v>
      </c>
      <c r="D14" s="2">
        <v>1.4693488113222549E-2</v>
      </c>
      <c r="E14" s="2" t="s">
        <v>128</v>
      </c>
      <c r="F14" s="2"/>
      <c r="G14" s="2"/>
      <c r="H14" s="2"/>
    </row>
    <row r="15" spans="1:8" ht="15.6" x14ac:dyDescent="0.25">
      <c r="A15" s="6" t="s">
        <v>34</v>
      </c>
      <c r="B15" s="6" t="s">
        <v>142</v>
      </c>
      <c r="C15" s="7">
        <v>839</v>
      </c>
      <c r="D15" s="2">
        <v>1.3341814423153376E-2</v>
      </c>
      <c r="E15" s="2" t="s">
        <v>143</v>
      </c>
      <c r="F15" s="2"/>
      <c r="G15" s="2"/>
      <c r="H15" s="2"/>
    </row>
    <row r="16" spans="1:8" ht="15.6" x14ac:dyDescent="0.25">
      <c r="A16" s="6" t="s">
        <v>35</v>
      </c>
      <c r="B16" s="6" t="s">
        <v>144</v>
      </c>
      <c r="C16" s="7">
        <v>827</v>
      </c>
      <c r="D16" s="2">
        <v>1.3150989902202433E-2</v>
      </c>
      <c r="E16" s="2" t="s">
        <v>128</v>
      </c>
      <c r="F16" s="2"/>
      <c r="G16" s="2"/>
      <c r="H16" s="2"/>
    </row>
    <row r="17" spans="1:8" ht="15.6" x14ac:dyDescent="0.25">
      <c r="A17" s="6" t="s">
        <v>36</v>
      </c>
      <c r="B17" s="6" t="s">
        <v>147</v>
      </c>
      <c r="C17" s="7">
        <v>564</v>
      </c>
      <c r="D17" s="2">
        <v>8.9687524846942829E-3</v>
      </c>
      <c r="E17" s="2" t="s">
        <v>137</v>
      </c>
      <c r="F17" s="2"/>
      <c r="G17" s="2"/>
      <c r="H17" s="2"/>
    </row>
    <row r="18" spans="1:8" ht="15.6" x14ac:dyDescent="0.25">
      <c r="A18" s="6" t="s">
        <v>37</v>
      </c>
      <c r="B18" s="6" t="s">
        <v>148</v>
      </c>
      <c r="C18" s="7">
        <v>319</v>
      </c>
      <c r="D18" s="2">
        <v>5.0727518486125469E-3</v>
      </c>
      <c r="E18" s="6" t="s">
        <v>148</v>
      </c>
      <c r="F18" s="2"/>
      <c r="G18" s="2"/>
      <c r="H18" s="2"/>
    </row>
    <row r="19" spans="1:8" ht="15.6" x14ac:dyDescent="0.25">
      <c r="A19" s="6" t="s">
        <v>38</v>
      </c>
      <c r="B19" s="6" t="s">
        <v>131</v>
      </c>
      <c r="C19" s="7">
        <v>289</v>
      </c>
      <c r="D19" s="2">
        <v>4.5956905462351911E-3</v>
      </c>
      <c r="E19" s="2" t="s">
        <v>128</v>
      </c>
      <c r="F19" s="2"/>
      <c r="G19" s="2"/>
      <c r="H19" s="2"/>
    </row>
    <row r="20" spans="1:8" ht="15.6" x14ac:dyDescent="0.25">
      <c r="A20" s="6" t="s">
        <v>39</v>
      </c>
      <c r="B20" s="6" t="s">
        <v>149</v>
      </c>
      <c r="C20" s="7">
        <v>250</v>
      </c>
      <c r="D20" s="2">
        <v>3.9755108531446294E-3</v>
      </c>
      <c r="E20" s="2" t="s">
        <v>137</v>
      </c>
      <c r="F20" s="2"/>
      <c r="G20" s="2"/>
      <c r="H20" s="2"/>
    </row>
    <row r="21" spans="1:8" ht="15.6" x14ac:dyDescent="0.25">
      <c r="A21" s="6" t="s">
        <v>40</v>
      </c>
      <c r="B21" s="6" t="s">
        <v>150</v>
      </c>
      <c r="C21" s="7">
        <v>187</v>
      </c>
      <c r="D21" s="2">
        <v>2.9736821181521825E-3</v>
      </c>
      <c r="E21" s="2" t="s">
        <v>137</v>
      </c>
      <c r="F21" s="2"/>
      <c r="G21" s="2"/>
      <c r="H21" s="2"/>
    </row>
    <row r="22" spans="1:8" ht="15.6" x14ac:dyDescent="0.25">
      <c r="A22" s="6" t="s">
        <v>41</v>
      </c>
      <c r="B22" s="6" t="s">
        <v>129</v>
      </c>
      <c r="C22" s="7">
        <v>9</v>
      </c>
      <c r="D22" s="2">
        <v>1.4311839071320666E-4</v>
      </c>
      <c r="E22" s="2" t="s">
        <v>128</v>
      </c>
      <c r="F22" s="2"/>
      <c r="G22" s="2"/>
      <c r="H22" s="2"/>
    </row>
    <row r="23" spans="1:8" ht="15.6" x14ac:dyDescent="0.25">
      <c r="A23" s="6" t="s">
        <v>42</v>
      </c>
      <c r="B23" s="6" t="s">
        <v>151</v>
      </c>
      <c r="C23" s="7">
        <v>1</v>
      </c>
      <c r="D23" s="2">
        <v>1.5902043412578516E-5</v>
      </c>
      <c r="E23" s="2" t="s">
        <v>135</v>
      </c>
      <c r="F23" s="2"/>
      <c r="G23" s="2"/>
      <c r="H23" s="2"/>
    </row>
    <row r="24" spans="1:8" ht="15.6" x14ac:dyDescent="0.25">
      <c r="A24" s="6" t="s">
        <v>43</v>
      </c>
      <c r="B24" s="6" t="s">
        <v>152</v>
      </c>
      <c r="C24" s="7">
        <v>1</v>
      </c>
      <c r="D24" s="2">
        <v>1.5902043412578516E-5</v>
      </c>
      <c r="E24" s="2" t="s">
        <v>135</v>
      </c>
      <c r="F24" s="2"/>
      <c r="G24" s="2"/>
      <c r="H24" s="2"/>
    </row>
    <row r="25" spans="1:8" ht="15.6" x14ac:dyDescent="0.25">
      <c r="A25" s="2"/>
      <c r="B25" s="2"/>
      <c r="C25" s="2"/>
      <c r="D25" s="2"/>
      <c r="E25" s="2"/>
      <c r="F25" s="2"/>
      <c r="G25" s="2"/>
      <c r="H25" s="2"/>
    </row>
    <row r="26" spans="1:8" ht="15.6" x14ac:dyDescent="0.25">
      <c r="A26" s="2" t="s">
        <v>52</v>
      </c>
      <c r="B26" s="2"/>
      <c r="C26" s="2">
        <f>SUM(C3:C24)</f>
        <v>62885</v>
      </c>
      <c r="D26" s="2"/>
      <c r="E26" s="2"/>
      <c r="F26" s="2"/>
      <c r="G26" s="2"/>
      <c r="H26" s="2"/>
    </row>
    <row r="27" spans="1:8" ht="15.6" x14ac:dyDescent="0.25">
      <c r="A27" s="2"/>
      <c r="B27" s="2"/>
      <c r="C27" s="2"/>
      <c r="D27" s="2"/>
      <c r="E27" s="2"/>
      <c r="F27" s="2"/>
      <c r="G27" s="2"/>
      <c r="H27" s="2"/>
    </row>
    <row r="28" spans="1:8" ht="15.6" x14ac:dyDescent="0.25">
      <c r="A28" s="2"/>
      <c r="B28" s="2"/>
      <c r="C28" s="2"/>
      <c r="D28" s="2"/>
      <c r="E28" s="2"/>
      <c r="F28" s="2"/>
      <c r="G28" s="2"/>
      <c r="H28" s="2"/>
    </row>
    <row r="29" spans="1:8" ht="15.6" x14ac:dyDescent="0.25">
      <c r="A29" s="2"/>
      <c r="B29" s="2"/>
      <c r="C29" s="2"/>
      <c r="D29" s="2"/>
      <c r="E29" s="2"/>
      <c r="F29" s="2"/>
      <c r="G29" s="2"/>
      <c r="H29" s="2"/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6E51-3FC3-4224-B0CC-321988A9C220}">
  <dimension ref="A1:D68"/>
  <sheetViews>
    <sheetView workbookViewId="0"/>
  </sheetViews>
  <sheetFormatPr defaultRowHeight="14.4" x14ac:dyDescent="0.25"/>
  <cols>
    <col min="1" max="1" width="25.77734375" customWidth="1"/>
    <col min="2" max="2" width="23.6640625" customWidth="1"/>
    <col min="3" max="3" width="16" customWidth="1"/>
    <col min="4" max="4" width="21.88671875" customWidth="1"/>
  </cols>
  <sheetData>
    <row r="1" spans="1:4" ht="15.6" x14ac:dyDescent="0.25">
      <c r="A1" s="13" t="s">
        <v>242</v>
      </c>
    </row>
    <row r="3" spans="1:4" s="19" customFormat="1" ht="15.6" x14ac:dyDescent="0.25">
      <c r="A3" s="17" t="s">
        <v>0</v>
      </c>
      <c r="B3" s="17" t="s">
        <v>46</v>
      </c>
      <c r="C3" s="17" t="s">
        <v>47</v>
      </c>
      <c r="D3" s="17" t="s">
        <v>114</v>
      </c>
    </row>
    <row r="4" spans="1:4" ht="15.6" x14ac:dyDescent="0.25">
      <c r="A4" s="6" t="s">
        <v>53</v>
      </c>
      <c r="B4" s="6">
        <v>8966</v>
      </c>
      <c r="C4" s="2">
        <v>0.17431371024185396</v>
      </c>
      <c r="D4" s="2" t="s">
        <v>153</v>
      </c>
    </row>
    <row r="5" spans="1:4" ht="15.6" x14ac:dyDescent="0.25">
      <c r="A5" s="6" t="s">
        <v>54</v>
      </c>
      <c r="B5" s="6">
        <v>5162</v>
      </c>
      <c r="C5" s="2">
        <v>0.1003577261062291</v>
      </c>
      <c r="D5" s="2" t="s">
        <v>153</v>
      </c>
    </row>
    <row r="6" spans="1:4" ht="15.6" x14ac:dyDescent="0.25">
      <c r="A6" s="6" t="s">
        <v>55</v>
      </c>
      <c r="B6" s="6">
        <v>3928</v>
      </c>
      <c r="C6" s="2">
        <v>7.6366747025429657E-2</v>
      </c>
      <c r="D6" s="2" t="s">
        <v>155</v>
      </c>
    </row>
    <row r="7" spans="1:4" ht="15.6" x14ac:dyDescent="0.25">
      <c r="A7" s="6" t="s">
        <v>56</v>
      </c>
      <c r="B7" s="6">
        <v>3384</v>
      </c>
      <c r="C7" s="2">
        <v>6.5790496928221476E-2</v>
      </c>
      <c r="D7" s="2" t="s">
        <v>156</v>
      </c>
    </row>
    <row r="8" spans="1:4" ht="15.6" x14ac:dyDescent="0.25">
      <c r="A8" s="6" t="s">
        <v>57</v>
      </c>
      <c r="B8" s="6">
        <v>3144</v>
      </c>
      <c r="C8" s="2">
        <v>6.1124504238276693E-2</v>
      </c>
      <c r="D8" s="2" t="s">
        <v>156</v>
      </c>
    </row>
    <row r="9" spans="1:4" ht="15.6" x14ac:dyDescent="0.25">
      <c r="A9" s="6" t="s">
        <v>58</v>
      </c>
      <c r="B9" s="6">
        <v>2843</v>
      </c>
      <c r="C9" s="2">
        <v>5.5272571739637608E-2</v>
      </c>
      <c r="D9" s="2" t="s">
        <v>154</v>
      </c>
    </row>
    <row r="10" spans="1:4" ht="15.6" x14ac:dyDescent="0.25">
      <c r="A10" s="6" t="s">
        <v>59</v>
      </c>
      <c r="B10" s="6">
        <v>1912</v>
      </c>
      <c r="C10" s="2">
        <v>3.7172408429893458E-2</v>
      </c>
      <c r="D10" s="2" t="s">
        <v>155</v>
      </c>
    </row>
    <row r="11" spans="1:4" ht="15.6" x14ac:dyDescent="0.25">
      <c r="A11" s="6" t="s">
        <v>60</v>
      </c>
      <c r="B11" s="6">
        <v>1706</v>
      </c>
      <c r="C11" s="2">
        <v>3.3167431371024188E-2</v>
      </c>
      <c r="D11" s="2" t="s">
        <v>153</v>
      </c>
    </row>
    <row r="12" spans="1:4" ht="15.6" x14ac:dyDescent="0.25">
      <c r="A12" s="6" t="s">
        <v>61</v>
      </c>
      <c r="B12" s="6">
        <v>1462</v>
      </c>
      <c r="C12" s="2">
        <v>2.8423672136246986E-2</v>
      </c>
      <c r="D12" s="2" t="s">
        <v>154</v>
      </c>
    </row>
    <row r="13" spans="1:4" ht="15.6" x14ac:dyDescent="0.25">
      <c r="A13" s="6" t="s">
        <v>62</v>
      </c>
      <c r="B13" s="6">
        <v>1186</v>
      </c>
      <c r="C13" s="2">
        <v>2.3057780542810484E-2</v>
      </c>
      <c r="D13" s="2" t="s">
        <v>154</v>
      </c>
    </row>
    <row r="14" spans="1:4" ht="15.6" x14ac:dyDescent="0.25">
      <c r="A14" s="6" t="s">
        <v>63</v>
      </c>
      <c r="B14" s="6">
        <v>1069</v>
      </c>
      <c r="C14" s="2">
        <v>2.0783109106462399E-2</v>
      </c>
      <c r="D14" s="2" t="s">
        <v>125</v>
      </c>
    </row>
    <row r="15" spans="1:4" ht="15.6" x14ac:dyDescent="0.25">
      <c r="A15" s="6" t="s">
        <v>64</v>
      </c>
      <c r="B15" s="6">
        <v>1059</v>
      </c>
      <c r="C15" s="2">
        <v>2.0588692744381368E-2</v>
      </c>
      <c r="D15" s="2" t="s">
        <v>157</v>
      </c>
    </row>
    <row r="16" spans="1:4" ht="15.6" x14ac:dyDescent="0.25">
      <c r="A16" s="6" t="s">
        <v>65</v>
      </c>
      <c r="B16" s="6">
        <v>976</v>
      </c>
      <c r="C16" s="2">
        <v>1.8975036939108795E-2</v>
      </c>
      <c r="D16" s="2" t="s">
        <v>154</v>
      </c>
    </row>
    <row r="17" spans="1:4" ht="15.6" x14ac:dyDescent="0.25">
      <c r="A17" s="6" t="s">
        <v>66</v>
      </c>
      <c r="B17" s="6">
        <v>956</v>
      </c>
      <c r="C17" s="2">
        <v>1.8586204214946729E-2</v>
      </c>
      <c r="D17" s="2" t="s">
        <v>153</v>
      </c>
    </row>
    <row r="18" spans="1:4" ht="15.6" x14ac:dyDescent="0.25">
      <c r="A18" s="6" t="s">
        <v>67</v>
      </c>
      <c r="B18" s="6">
        <v>924</v>
      </c>
      <c r="C18" s="2">
        <v>1.7964071856287425E-2</v>
      </c>
      <c r="D18" s="2" t="s">
        <v>156</v>
      </c>
    </row>
    <row r="19" spans="1:4" ht="15.6" x14ac:dyDescent="0.25">
      <c r="A19" s="6" t="s">
        <v>68</v>
      </c>
      <c r="B19" s="6">
        <v>859</v>
      </c>
      <c r="C19" s="2">
        <v>1.6700365502760713E-2</v>
      </c>
      <c r="D19" s="2" t="s">
        <v>156</v>
      </c>
    </row>
    <row r="20" spans="1:4" ht="15.6" x14ac:dyDescent="0.25">
      <c r="A20" s="6" t="s">
        <v>69</v>
      </c>
      <c r="B20" s="6">
        <v>750</v>
      </c>
      <c r="C20" s="2">
        <v>1.4581227156077455E-2</v>
      </c>
      <c r="D20" s="2" t="s">
        <v>153</v>
      </c>
    </row>
    <row r="21" spans="1:4" ht="15.6" x14ac:dyDescent="0.25">
      <c r="A21" s="6" t="s">
        <v>70</v>
      </c>
      <c r="B21" s="6">
        <v>739</v>
      </c>
      <c r="C21" s="2">
        <v>1.436736915778832E-2</v>
      </c>
      <c r="D21" s="2" t="s">
        <v>127</v>
      </c>
    </row>
    <row r="22" spans="1:4" ht="15.6" x14ac:dyDescent="0.25">
      <c r="A22" s="6" t="s">
        <v>71</v>
      </c>
      <c r="B22" s="6">
        <v>666</v>
      </c>
      <c r="C22" s="2">
        <v>1.294812971459678E-2</v>
      </c>
      <c r="D22" s="2" t="s">
        <v>154</v>
      </c>
    </row>
    <row r="23" spans="1:4" ht="15.6" x14ac:dyDescent="0.25">
      <c r="A23" s="6" t="s">
        <v>72</v>
      </c>
      <c r="B23" s="6">
        <v>642</v>
      </c>
      <c r="C23" s="2">
        <v>1.2481530445602303E-2</v>
      </c>
      <c r="D23" s="6" t="s">
        <v>72</v>
      </c>
    </row>
    <row r="24" spans="1:4" ht="15.6" x14ac:dyDescent="0.25">
      <c r="A24" s="6" t="s">
        <v>73</v>
      </c>
      <c r="B24" s="6">
        <v>578</v>
      </c>
      <c r="C24" s="2">
        <v>1.1237265728283692E-2</v>
      </c>
      <c r="D24" s="2" t="s">
        <v>156</v>
      </c>
    </row>
    <row r="25" spans="1:4" ht="15.6" x14ac:dyDescent="0.25">
      <c r="A25" s="6" t="s">
        <v>74</v>
      </c>
      <c r="B25" s="6">
        <v>534</v>
      </c>
      <c r="C25" s="2">
        <v>1.0381833735127148E-2</v>
      </c>
      <c r="D25" s="2" t="s">
        <v>125</v>
      </c>
    </row>
    <row r="26" spans="1:4" ht="15.6" x14ac:dyDescent="0.25">
      <c r="A26" s="6" t="s">
        <v>75</v>
      </c>
      <c r="B26" s="6">
        <v>532</v>
      </c>
      <c r="C26" s="2">
        <v>1.0342950462710943E-2</v>
      </c>
      <c r="D26" s="2" t="s">
        <v>157</v>
      </c>
    </row>
    <row r="27" spans="1:4" ht="15.6" x14ac:dyDescent="0.25">
      <c r="A27" s="6" t="s">
        <v>76</v>
      </c>
      <c r="B27" s="6">
        <v>490</v>
      </c>
      <c r="C27" s="2">
        <v>9.5264017419706051E-3</v>
      </c>
      <c r="D27" s="2" t="s">
        <v>153</v>
      </c>
    </row>
    <row r="28" spans="1:4" ht="15.6" x14ac:dyDescent="0.25">
      <c r="A28" s="6" t="s">
        <v>77</v>
      </c>
      <c r="B28" s="6">
        <v>470</v>
      </c>
      <c r="C28" s="2">
        <v>9.1375690178085393E-3</v>
      </c>
      <c r="D28" s="2" t="s">
        <v>156</v>
      </c>
    </row>
    <row r="29" spans="1:4" ht="15.6" x14ac:dyDescent="0.25">
      <c r="A29" s="6" t="s">
        <v>78</v>
      </c>
      <c r="B29" s="6">
        <v>436</v>
      </c>
      <c r="C29" s="2">
        <v>8.4765533867330271E-3</v>
      </c>
      <c r="D29" s="2" t="s">
        <v>156</v>
      </c>
    </row>
    <row r="30" spans="1:4" ht="15.6" x14ac:dyDescent="0.25">
      <c r="A30" s="6" t="s">
        <v>79</v>
      </c>
      <c r="B30" s="6">
        <v>414</v>
      </c>
      <c r="C30" s="2">
        <v>8.0488373901547554E-3</v>
      </c>
      <c r="D30" s="2" t="s">
        <v>155</v>
      </c>
    </row>
    <row r="31" spans="1:4" ht="15.6" x14ac:dyDescent="0.25">
      <c r="A31" s="6" t="s">
        <v>80</v>
      </c>
      <c r="B31" s="6">
        <v>399</v>
      </c>
      <c r="C31" s="2">
        <v>7.757212847033206E-3</v>
      </c>
      <c r="D31" s="2" t="s">
        <v>127</v>
      </c>
    </row>
    <row r="32" spans="1:4" ht="15.6" x14ac:dyDescent="0.25">
      <c r="A32" s="6" t="s">
        <v>81</v>
      </c>
      <c r="B32" s="6">
        <v>393</v>
      </c>
      <c r="C32" s="2">
        <v>7.6405630297845866E-3</v>
      </c>
      <c r="D32" s="2" t="s">
        <v>154</v>
      </c>
    </row>
    <row r="33" spans="1:4" ht="15.6" x14ac:dyDescent="0.25">
      <c r="A33" s="6" t="s">
        <v>82</v>
      </c>
      <c r="B33" s="6">
        <v>378</v>
      </c>
      <c r="C33" s="2">
        <v>7.3489384866630373E-3</v>
      </c>
      <c r="D33" s="2" t="s">
        <v>127</v>
      </c>
    </row>
    <row r="34" spans="1:4" ht="15.6" x14ac:dyDescent="0.25">
      <c r="A34" s="6" t="s">
        <v>83</v>
      </c>
      <c r="B34" s="6">
        <v>373</v>
      </c>
      <c r="C34" s="2">
        <v>7.2517303056225208E-3</v>
      </c>
      <c r="D34" s="2" t="s">
        <v>154</v>
      </c>
    </row>
    <row r="35" spans="1:4" ht="15.6" x14ac:dyDescent="0.25">
      <c r="A35" s="6" t="s">
        <v>38</v>
      </c>
      <c r="B35" s="6">
        <v>366</v>
      </c>
      <c r="C35" s="2">
        <v>7.1156388521657985E-3</v>
      </c>
      <c r="D35" s="2" t="s">
        <v>131</v>
      </c>
    </row>
    <row r="36" spans="1:4" ht="15.6" x14ac:dyDescent="0.25">
      <c r="A36" s="6" t="s">
        <v>84</v>
      </c>
      <c r="B36" s="6">
        <v>349</v>
      </c>
      <c r="C36" s="2">
        <v>6.7851310366280424E-3</v>
      </c>
      <c r="D36" s="2" t="s">
        <v>127</v>
      </c>
    </row>
    <row r="37" spans="1:4" ht="15.6" x14ac:dyDescent="0.25">
      <c r="A37" s="6" t="s">
        <v>85</v>
      </c>
      <c r="B37" s="6">
        <v>342</v>
      </c>
      <c r="C37" s="2">
        <v>6.6490395831713201E-3</v>
      </c>
      <c r="D37" s="2" t="s">
        <v>156</v>
      </c>
    </row>
    <row r="38" spans="1:4" ht="15.6" x14ac:dyDescent="0.25">
      <c r="A38" s="6" t="s">
        <v>86</v>
      </c>
      <c r="B38" s="6">
        <v>270</v>
      </c>
      <c r="C38" s="2">
        <v>5.2492417761878839E-3</v>
      </c>
      <c r="D38" s="2" t="s">
        <v>156</v>
      </c>
    </row>
    <row r="39" spans="1:4" ht="15.6" x14ac:dyDescent="0.25">
      <c r="A39" s="6" t="s">
        <v>87</v>
      </c>
      <c r="B39" s="6">
        <v>216</v>
      </c>
      <c r="C39" s="2">
        <v>4.1993934209503068E-3</v>
      </c>
      <c r="D39" s="2" t="s">
        <v>155</v>
      </c>
    </row>
    <row r="40" spans="1:4" ht="15.6" x14ac:dyDescent="0.25">
      <c r="A40" s="6" t="s">
        <v>88</v>
      </c>
      <c r="B40" s="6">
        <v>210</v>
      </c>
      <c r="C40" s="2">
        <v>4.0827436037016874E-3</v>
      </c>
      <c r="D40" s="2" t="s">
        <v>155</v>
      </c>
    </row>
    <row r="41" spans="1:4" ht="15.6" x14ac:dyDescent="0.25">
      <c r="A41" s="6" t="s">
        <v>89</v>
      </c>
      <c r="B41" s="6">
        <v>192</v>
      </c>
      <c r="C41" s="2">
        <v>3.7327941519558288E-3</v>
      </c>
      <c r="D41" s="2" t="s">
        <v>154</v>
      </c>
    </row>
    <row r="42" spans="1:4" ht="15.6" x14ac:dyDescent="0.25">
      <c r="A42" s="6" t="s">
        <v>90</v>
      </c>
      <c r="B42" s="6">
        <v>177</v>
      </c>
      <c r="C42" s="2">
        <v>3.4411696088342794E-3</v>
      </c>
      <c r="D42" s="2" t="s">
        <v>127</v>
      </c>
    </row>
    <row r="43" spans="1:4" ht="15.6" x14ac:dyDescent="0.25">
      <c r="A43" s="6" t="s">
        <v>91</v>
      </c>
      <c r="B43" s="6">
        <v>169</v>
      </c>
      <c r="C43" s="2">
        <v>3.2856365191694533E-3</v>
      </c>
      <c r="D43" s="2" t="s">
        <v>157</v>
      </c>
    </row>
    <row r="44" spans="1:4" ht="15.6" x14ac:dyDescent="0.25">
      <c r="A44" s="6" t="s">
        <v>92</v>
      </c>
      <c r="B44" s="6">
        <v>163</v>
      </c>
      <c r="C44" s="2">
        <v>3.1689867019208335E-3</v>
      </c>
      <c r="D44" s="2" t="s">
        <v>156</v>
      </c>
    </row>
    <row r="45" spans="1:4" ht="15.6" x14ac:dyDescent="0.25">
      <c r="A45" s="6" t="s">
        <v>93</v>
      </c>
      <c r="B45" s="6">
        <v>149</v>
      </c>
      <c r="C45" s="2">
        <v>2.8968037950073879E-3</v>
      </c>
      <c r="D45" s="2" t="s">
        <v>154</v>
      </c>
    </row>
    <row r="46" spans="1:4" ht="15.6" x14ac:dyDescent="0.25">
      <c r="A46" s="6" t="s">
        <v>94</v>
      </c>
      <c r="B46" s="6">
        <v>143</v>
      </c>
      <c r="C46" s="2">
        <v>2.7801539777587681E-3</v>
      </c>
      <c r="D46" s="2" t="s">
        <v>127</v>
      </c>
    </row>
    <row r="47" spans="1:4" ht="15.6" x14ac:dyDescent="0.25">
      <c r="A47" s="6" t="s">
        <v>95</v>
      </c>
      <c r="B47" s="6">
        <v>143</v>
      </c>
      <c r="C47" s="2">
        <v>2.7801539777587681E-3</v>
      </c>
      <c r="D47" s="2" t="s">
        <v>156</v>
      </c>
    </row>
    <row r="48" spans="1:4" ht="15.6" x14ac:dyDescent="0.25">
      <c r="A48" s="6" t="s">
        <v>96</v>
      </c>
      <c r="B48" s="6">
        <v>139</v>
      </c>
      <c r="C48" s="2">
        <v>2.702387432926355E-3</v>
      </c>
      <c r="D48" s="2" t="s">
        <v>127</v>
      </c>
    </row>
    <row r="49" spans="1:4" ht="15.6" x14ac:dyDescent="0.25">
      <c r="A49" s="6" t="s">
        <v>97</v>
      </c>
      <c r="B49" s="6">
        <v>133</v>
      </c>
      <c r="C49" s="2">
        <v>2.5857376156777356E-3</v>
      </c>
      <c r="D49" s="2" t="s">
        <v>155</v>
      </c>
    </row>
    <row r="50" spans="1:4" ht="15.6" x14ac:dyDescent="0.25">
      <c r="A50" s="6" t="s">
        <v>98</v>
      </c>
      <c r="B50" s="6">
        <v>116</v>
      </c>
      <c r="C50" s="2">
        <v>2.25522980013998E-3</v>
      </c>
      <c r="D50" s="2" t="s">
        <v>154</v>
      </c>
    </row>
    <row r="51" spans="1:4" ht="15.6" x14ac:dyDescent="0.25">
      <c r="A51" s="6" t="s">
        <v>99</v>
      </c>
      <c r="B51" s="6">
        <v>103</v>
      </c>
      <c r="C51" s="2">
        <v>2.0024885294346374E-3</v>
      </c>
      <c r="D51" s="2" t="s">
        <v>127</v>
      </c>
    </row>
    <row r="52" spans="1:4" ht="15.6" x14ac:dyDescent="0.25">
      <c r="A52" s="6" t="s">
        <v>100</v>
      </c>
      <c r="B52" s="6">
        <v>100</v>
      </c>
      <c r="C52" s="2">
        <v>1.9441636208103275E-3</v>
      </c>
      <c r="D52" s="2" t="s">
        <v>127</v>
      </c>
    </row>
    <row r="53" spans="1:4" ht="15.6" x14ac:dyDescent="0.25">
      <c r="A53" s="6" t="s">
        <v>101</v>
      </c>
      <c r="B53" s="6">
        <v>77</v>
      </c>
      <c r="C53" s="2">
        <v>1.4970059880239522E-3</v>
      </c>
      <c r="D53" s="2" t="s">
        <v>153</v>
      </c>
    </row>
    <row r="54" spans="1:4" ht="15.6" x14ac:dyDescent="0.25">
      <c r="A54" s="6" t="s">
        <v>102</v>
      </c>
      <c r="B54" s="6">
        <v>75</v>
      </c>
      <c r="C54" s="2">
        <v>1.4581227156077457E-3</v>
      </c>
      <c r="D54" s="2" t="s">
        <v>131</v>
      </c>
    </row>
    <row r="55" spans="1:4" ht="15.6" x14ac:dyDescent="0.25">
      <c r="A55" s="6" t="s">
        <v>103</v>
      </c>
      <c r="B55" s="6">
        <v>61</v>
      </c>
      <c r="C55" s="2">
        <v>1.1859398086942997E-3</v>
      </c>
      <c r="D55" s="2" t="s">
        <v>156</v>
      </c>
    </row>
    <row r="56" spans="1:4" ht="15.6" x14ac:dyDescent="0.25">
      <c r="A56" s="6" t="s">
        <v>104</v>
      </c>
      <c r="B56" s="6">
        <v>61</v>
      </c>
      <c r="C56" s="2">
        <v>1.1859398086942997E-3</v>
      </c>
      <c r="D56" s="2" t="s">
        <v>154</v>
      </c>
    </row>
    <row r="57" spans="1:4" ht="15.6" x14ac:dyDescent="0.25">
      <c r="A57" s="6" t="s">
        <v>105</v>
      </c>
      <c r="B57" s="6">
        <v>61</v>
      </c>
      <c r="C57" s="2">
        <v>1.1859398086942997E-3</v>
      </c>
      <c r="D57" s="2" t="s">
        <v>154</v>
      </c>
    </row>
    <row r="58" spans="1:4" ht="15.6" x14ac:dyDescent="0.25">
      <c r="A58" s="6" t="s">
        <v>106</v>
      </c>
      <c r="B58" s="6">
        <v>60</v>
      </c>
      <c r="C58" s="2">
        <v>1.1664981724861965E-3</v>
      </c>
      <c r="D58" s="2" t="s">
        <v>127</v>
      </c>
    </row>
    <row r="59" spans="1:4" ht="15.6" x14ac:dyDescent="0.25">
      <c r="A59" s="6" t="s">
        <v>107</v>
      </c>
      <c r="B59" s="6">
        <v>56</v>
      </c>
      <c r="C59" s="2">
        <v>1.0887316276537834E-3</v>
      </c>
      <c r="D59" s="2" t="s">
        <v>127</v>
      </c>
    </row>
    <row r="60" spans="1:4" ht="15.6" x14ac:dyDescent="0.25">
      <c r="A60" s="6" t="s">
        <v>108</v>
      </c>
      <c r="B60" s="6">
        <v>39</v>
      </c>
      <c r="C60" s="2">
        <v>7.5822381211602767E-4</v>
      </c>
      <c r="D60" s="2" t="s">
        <v>156</v>
      </c>
    </row>
    <row r="61" spans="1:4" ht="15.6" x14ac:dyDescent="0.25">
      <c r="A61" s="6" t="s">
        <v>109</v>
      </c>
      <c r="B61" s="6">
        <v>38</v>
      </c>
      <c r="C61" s="2">
        <v>7.3878217590792441E-4</v>
      </c>
      <c r="D61" s="2" t="s">
        <v>153</v>
      </c>
    </row>
    <row r="62" spans="1:4" ht="15.6" x14ac:dyDescent="0.25">
      <c r="A62" s="6" t="s">
        <v>110</v>
      </c>
      <c r="B62" s="6">
        <v>29</v>
      </c>
      <c r="C62" s="2">
        <v>5.6380745003499499E-4</v>
      </c>
      <c r="D62" s="2" t="s">
        <v>125</v>
      </c>
    </row>
    <row r="63" spans="1:4" ht="15.6" x14ac:dyDescent="0.25">
      <c r="A63" s="6" t="s">
        <v>111</v>
      </c>
      <c r="B63" s="6">
        <v>29</v>
      </c>
      <c r="C63" s="2">
        <v>5.6380745003499499E-4</v>
      </c>
      <c r="D63" s="2" t="s">
        <v>154</v>
      </c>
    </row>
    <row r="64" spans="1:4" ht="15.6" x14ac:dyDescent="0.25">
      <c r="A64" s="6" t="s">
        <v>112</v>
      </c>
      <c r="B64" s="6">
        <v>28</v>
      </c>
      <c r="C64" s="2">
        <v>5.4436581382689172E-4</v>
      </c>
      <c r="D64" s="2" t="s">
        <v>153</v>
      </c>
    </row>
    <row r="65" spans="1:4" ht="15.6" x14ac:dyDescent="0.25">
      <c r="A65" s="6" t="s">
        <v>113</v>
      </c>
      <c r="B65" s="6">
        <v>12</v>
      </c>
      <c r="C65" s="2">
        <v>2.332996344972393E-4</v>
      </c>
      <c r="D65" s="2" t="s">
        <v>154</v>
      </c>
    </row>
    <row r="66" spans="1:4" ht="15.6" x14ac:dyDescent="0.25">
      <c r="A66" s="2"/>
      <c r="B66" s="2"/>
      <c r="C66" s="2"/>
      <c r="D66" s="2"/>
    </row>
    <row r="67" spans="1:4" ht="15.6" x14ac:dyDescent="0.25">
      <c r="A67" s="5" t="s">
        <v>52</v>
      </c>
      <c r="B67" s="2">
        <f>SUM(B4:B65)</f>
        <v>51436</v>
      </c>
      <c r="C67" s="2"/>
      <c r="D67" s="2"/>
    </row>
    <row r="68" spans="1:4" ht="15.6" x14ac:dyDescent="0.25">
      <c r="A68" s="2"/>
      <c r="B68" s="2"/>
      <c r="C68" s="2"/>
      <c r="D68" s="2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F430-AAC4-4BD2-B052-0C331892D572}">
  <dimension ref="A1:C10"/>
  <sheetViews>
    <sheetView workbookViewId="0">
      <selection activeCell="F16" sqref="F16"/>
    </sheetView>
  </sheetViews>
  <sheetFormatPr defaultRowHeight="14.4" x14ac:dyDescent="0.25"/>
  <cols>
    <col min="1" max="1" width="37.6640625" customWidth="1"/>
    <col min="2" max="2" width="19.88671875" customWidth="1"/>
    <col min="3" max="3" width="13.109375" customWidth="1"/>
  </cols>
  <sheetData>
    <row r="1" spans="1:3" ht="15.6" x14ac:dyDescent="0.25">
      <c r="A1" s="13" t="s">
        <v>243</v>
      </c>
    </row>
    <row r="3" spans="1:3" s="19" customFormat="1" ht="15.6" x14ac:dyDescent="0.25">
      <c r="A3" s="17" t="s">
        <v>0</v>
      </c>
      <c r="B3" s="17" t="s">
        <v>46</v>
      </c>
      <c r="C3" s="17" t="s">
        <v>47</v>
      </c>
    </row>
    <row r="4" spans="1:3" ht="15.6" x14ac:dyDescent="0.25">
      <c r="A4" s="6" t="s">
        <v>115</v>
      </c>
      <c r="B4" s="6">
        <v>15032</v>
      </c>
      <c r="C4" s="2">
        <v>0.46982340990779808</v>
      </c>
    </row>
    <row r="5" spans="1:3" ht="15.6" x14ac:dyDescent="0.25">
      <c r="A5" s="6" t="s">
        <v>116</v>
      </c>
      <c r="B5" s="6">
        <v>8687</v>
      </c>
      <c r="C5" s="2">
        <v>0.27151117362087829</v>
      </c>
    </row>
    <row r="6" spans="1:3" ht="15.6" x14ac:dyDescent="0.25">
      <c r="A6" s="6" t="s">
        <v>117</v>
      </c>
      <c r="B6" s="6">
        <v>7804</v>
      </c>
      <c r="C6" s="2">
        <v>0.24391311142365996</v>
      </c>
    </row>
    <row r="7" spans="1:3" ht="15.6" x14ac:dyDescent="0.25">
      <c r="A7" s="6" t="s">
        <v>118</v>
      </c>
      <c r="B7" s="6">
        <v>334</v>
      </c>
      <c r="C7" s="2">
        <v>1.04391311142366E-2</v>
      </c>
    </row>
    <row r="8" spans="1:3" ht="15.6" x14ac:dyDescent="0.25">
      <c r="A8" s="6" t="s">
        <v>119</v>
      </c>
      <c r="B8" s="6">
        <v>138</v>
      </c>
      <c r="C8" s="2">
        <v>4.3131739334270978E-3</v>
      </c>
    </row>
    <row r="9" spans="1:3" ht="15.6" x14ac:dyDescent="0.25">
      <c r="A9" s="2"/>
      <c r="B9" s="2"/>
      <c r="C9" s="2"/>
    </row>
    <row r="10" spans="1:3" ht="15.6" x14ac:dyDescent="0.25">
      <c r="A10" s="2"/>
      <c r="B10" s="2"/>
      <c r="C1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Supplement Table1</vt:lpstr>
      <vt:lpstr>Supplmentary Table 2</vt:lpstr>
      <vt:lpstr>Supplmentary Table3</vt:lpstr>
      <vt:lpstr>Supplmentary Table4</vt:lpstr>
      <vt:lpstr>Supplmentary Table 5</vt:lpstr>
      <vt:lpstr>Supplmentary Table 6</vt:lpstr>
      <vt:lpstr>Supplmentary Table 7</vt:lpstr>
      <vt:lpstr>Supplmentary Table 8</vt:lpstr>
      <vt:lpstr>Supplement Table 9</vt:lpstr>
      <vt:lpstr>Supplement Table 10</vt:lpstr>
      <vt:lpstr>Supplement Table 11</vt:lpstr>
      <vt:lpstr>Supplement Table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MJL</dc:creator>
  <cp:lastModifiedBy>MJL</cp:lastModifiedBy>
  <dcterms:created xsi:type="dcterms:W3CDTF">2023-05-12T11:15:00Z</dcterms:created>
  <dcterms:modified xsi:type="dcterms:W3CDTF">2026-07-13T07:58:56Z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